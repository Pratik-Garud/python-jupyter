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hidePivotFieldList="1"/>
  <xr:revisionPtr revIDLastSave="0" documentId="8_{765BA4E5-684A-4186-9084-2070F4EA1DA5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Sheet1" sheetId="1" r:id="rId1"/>
    <sheet name="clean_data" sheetId="2" r:id="rId2"/>
    <sheet name="discraptive staticts" sheetId="3" r:id="rId3"/>
    <sheet name="pivot table" sheetId="5" r:id="rId4"/>
    <sheet name="Dashborad" sheetId="6" r:id="rId5"/>
    <sheet name="insights" sheetId="7" r:id="rId6"/>
  </sheets>
  <definedNames>
    <definedName name="_xlnm._FilterDatabase" localSheetId="0" hidden="1">Sheet1!$A$1:$H$487</definedName>
    <definedName name="_xlnm._FilterDatabase" localSheetId="1" hidden="1">clean_data!$G$1:$G$487</definedName>
    <definedName name="Slicer_Category">#N/A</definedName>
    <definedName name="Slicer_Category_Type">#N/A</definedName>
    <definedName name="Slicer_Category1">#N/A</definedName>
    <definedName name="Slicer_month">#N/A</definedName>
  </definedNames>
  <calcPr calcId="191028"/>
  <pivotCaches>
    <pivotCache cacheId="5921" r:id="rId7"/>
    <pivotCache cacheId="5922" r:id="rId8"/>
    <pivotCache cacheId="592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" l="1"/>
  <c r="K3" i="2"/>
  <c r="I2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2" i="2"/>
  <c r="B14" i="3"/>
  <c r="B13" i="3"/>
  <c r="B12" i="3"/>
  <c r="B6" i="3"/>
  <c r="B5" i="3"/>
  <c r="B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3" i="1"/>
  <c r="E4" i="1"/>
  <c r="E5" i="1"/>
  <c r="E2" i="1"/>
</calcChain>
</file>

<file path=xl/sharedStrings.xml><?xml version="1.0" encoding="utf-8"?>
<sst xmlns="http://schemas.openxmlformats.org/spreadsheetml/2006/main" count="4524" uniqueCount="282">
  <si>
    <t>Date</t>
  </si>
  <si>
    <t>Description</t>
  </si>
  <si>
    <t>Debit</t>
  </si>
  <si>
    <t>Credit</t>
  </si>
  <si>
    <t>Sub-category</t>
  </si>
  <si>
    <t>Category</t>
  </si>
  <si>
    <t>Category Type</t>
  </si>
  <si>
    <t>Nextleap DAF</t>
  </si>
  <si>
    <t>₹120,000.00</t>
  </si>
  <si>
    <t>Salary</t>
  </si>
  <si>
    <t>Income</t>
  </si>
  <si>
    <t>Drink</t>
  </si>
  <si>
    <t>₹120.00</t>
  </si>
  <si>
    <t>Coffee</t>
  </si>
  <si>
    <t>Dining Out</t>
  </si>
  <si>
    <t>Expense</t>
  </si>
  <si>
    <t>Flat Expenses</t>
  </si>
  <si>
    <t>₹21,600.00</t>
  </si>
  <si>
    <t>Rent</t>
  </si>
  <si>
    <t>Living Expenses</t>
  </si>
  <si>
    <t>EMI</t>
  </si>
  <si>
    <t>₹3,600.00</t>
  </si>
  <si>
    <t>Cash loan</t>
  </si>
  <si>
    <t>Transport</t>
  </si>
  <si>
    <t>Green's</t>
  </si>
  <si>
    <t>₹3,720.00</t>
  </si>
  <si>
    <t>Groceries</t>
  </si>
  <si>
    <t>Power source</t>
  </si>
  <si>
    <t>₹1,200.00</t>
  </si>
  <si>
    <t>Gas/Electrics</t>
  </si>
  <si>
    <t>Fuel</t>
  </si>
  <si>
    <t>₹1,848.00</t>
  </si>
  <si>
    <t>₹3,240.00</t>
  </si>
  <si>
    <t>Cinemas</t>
  </si>
  <si>
    <t>₹960.00</t>
  </si>
  <si>
    <t>Entertainment</t>
  </si>
  <si>
    <t>Discretionary</t>
  </si>
  <si>
    <t>Zara Clothes</t>
  </si>
  <si>
    <t>₹2,352.00</t>
  </si>
  <si>
    <t>Clothes</t>
  </si>
  <si>
    <t>Swiggy</t>
  </si>
  <si>
    <t>₹1,248.00</t>
  </si>
  <si>
    <t>Restaurant</t>
  </si>
  <si>
    <t>Ola</t>
  </si>
  <si>
    <t>₹672.00</t>
  </si>
  <si>
    <t>Taxi</t>
  </si>
  <si>
    <t>Onlne earning</t>
  </si>
  <si>
    <t>₹108,000.00</t>
  </si>
  <si>
    <t>YouTube</t>
  </si>
  <si>
    <t>Passive</t>
  </si>
  <si>
    <t>Teachable</t>
  </si>
  <si>
    <t>Phone</t>
  </si>
  <si>
    <t>Family and Friends surprises</t>
  </si>
  <si>
    <t>₹1,080.00</t>
  </si>
  <si>
    <t>Gifts</t>
  </si>
  <si>
    <t>Online streaming</t>
  </si>
  <si>
    <t>₹768.00</t>
  </si>
  <si>
    <t>₹4,080.00</t>
  </si>
  <si>
    <t>Office Lunch</t>
  </si>
  <si>
    <t>₹888.00</t>
  </si>
  <si>
    <t>Evening snacks</t>
  </si>
  <si>
    <t>₹288.00</t>
  </si>
  <si>
    <t>Orphanage</t>
  </si>
  <si>
    <t>₹1,320.00</t>
  </si>
  <si>
    <t>Donation</t>
  </si>
  <si>
    <t>Charity</t>
  </si>
  <si>
    <t>₹1,512.00</t>
  </si>
  <si>
    <t>Fueling</t>
  </si>
  <si>
    <t>₹3,888.00</t>
  </si>
  <si>
    <t>Trainers</t>
  </si>
  <si>
    <t>₹3,000.00</t>
  </si>
  <si>
    <t>Hangingout/Ticket</t>
  </si>
  <si>
    <t>₹4,200.00</t>
  </si>
  <si>
    <t>₹3,480.00</t>
  </si>
  <si>
    <t>₹552.00</t>
  </si>
  <si>
    <t>Data with Decision</t>
  </si>
  <si>
    <t>₹4,920.00</t>
  </si>
  <si>
    <t>₹1,226.40</t>
  </si>
  <si>
    <t>₹1,872.00</t>
  </si>
  <si>
    <t>₹3,261.60</t>
  </si>
  <si>
    <t>₹981.60</t>
  </si>
  <si>
    <t>Myntra Accesories</t>
  </si>
  <si>
    <t>₹2,376.00</t>
  </si>
  <si>
    <t>₹1,272.00</t>
  </si>
  <si>
    <t>₹693.60</t>
  </si>
  <si>
    <t>₹19,200.00</t>
  </si>
  <si>
    <t>₹1,101.60</t>
  </si>
  <si>
    <t>₹840.00</t>
  </si>
  <si>
    <t>₹4,104.00</t>
  </si>
  <si>
    <t>₹909.60</t>
  </si>
  <si>
    <t>₹309.60</t>
  </si>
  <si>
    <t>₹1,538.40</t>
  </si>
  <si>
    <t>₹3,909.60</t>
  </si>
  <si>
    <t>₹3,021.60</t>
  </si>
  <si>
    <t>Global Fashion</t>
  </si>
  <si>
    <t>₹3,288.00</t>
  </si>
  <si>
    <t>₹3,506.40</t>
  </si>
  <si>
    <t>₹578.40</t>
  </si>
  <si>
    <t>₹3,576.00</t>
  </si>
  <si>
    <t>₹1,250.40</t>
  </si>
  <si>
    <t>₹1,893.60</t>
  </si>
  <si>
    <t>₹1,003.20</t>
  </si>
  <si>
    <t>₹2,397.60</t>
  </si>
  <si>
    <t>₹1,296.00</t>
  </si>
  <si>
    <t>₹720.00</t>
  </si>
  <si>
    <t>₹24,000.00</t>
  </si>
  <si>
    <t>Taken medication</t>
  </si>
  <si>
    <t>₹1,800.00</t>
  </si>
  <si>
    <t>Doctor</t>
  </si>
  <si>
    <t>Medical</t>
  </si>
  <si>
    <t>₹1,123.20</t>
  </si>
  <si>
    <t>₹4,125.60</t>
  </si>
  <si>
    <t>₹936.00</t>
  </si>
  <si>
    <t>₹336.00</t>
  </si>
  <si>
    <t>₹1,560.00</t>
  </si>
  <si>
    <t>₹5,016.00</t>
  </si>
  <si>
    <t>₹3,048.00</t>
  </si>
  <si>
    <t>Decathlon</t>
  </si>
  <si>
    <t>₹4,252.80</t>
  </si>
  <si>
    <t>₹3,530.40</t>
  </si>
  <si>
    <t>₹600.00</t>
  </si>
  <si>
    <t>Foodary</t>
  </si>
  <si>
    <t>₹360.00</t>
  </si>
  <si>
    <t>₹3,796.80</t>
  </si>
  <si>
    <t>₹1,276.80</t>
  </si>
  <si>
    <t>₹1,917.60</t>
  </si>
  <si>
    <t>₹1,027.20</t>
  </si>
  <si>
    <t>₹2,421.60</t>
  </si>
  <si>
    <t>₹1,317.60</t>
  </si>
  <si>
    <t>₹744.00</t>
  </si>
  <si>
    <t>₹56,160.00</t>
  </si>
  <si>
    <t>₹1,149.60</t>
  </si>
  <si>
    <t>₹4,152.00</t>
  </si>
  <si>
    <t>₹962.40</t>
  </si>
  <si>
    <t>₹362.40</t>
  </si>
  <si>
    <t>₹1,584.00</t>
  </si>
  <si>
    <t>₹3,957.60</t>
  </si>
  <si>
    <t>₹3,069.60</t>
  </si>
  <si>
    <t>Clubing</t>
  </si>
  <si>
    <t>₹7,200.00</t>
  </si>
  <si>
    <t>₹3,554.40</t>
  </si>
  <si>
    <t>₹626.40</t>
  </si>
  <si>
    <t>₹1,298.40</t>
  </si>
  <si>
    <t>₹1,944.00</t>
  </si>
  <si>
    <t>₹3,338.40</t>
  </si>
  <si>
    <t>₹1,053.60</t>
  </si>
  <si>
    <t>₹2,443.20</t>
  </si>
  <si>
    <t>₹1,341.60</t>
  </si>
  <si>
    <t>₹1,176.00</t>
  </si>
  <si>
    <t>₹4,176.00</t>
  </si>
  <si>
    <t>₹986.40</t>
  </si>
  <si>
    <t>₹388.80</t>
  </si>
  <si>
    <t>₹1,608.00</t>
  </si>
  <si>
    <t>₹3,979.20</t>
  </si>
  <si>
    <t>₹3,091.20</t>
  </si>
  <si>
    <t>Home décor</t>
  </si>
  <si>
    <t>₹5,640.00</t>
  </si>
  <si>
    <t>Furnishings</t>
  </si>
  <si>
    <t>₹3,580.80</t>
  </si>
  <si>
    <t>₹652.80</t>
  </si>
  <si>
    <t>₹2,856.00</t>
  </si>
  <si>
    <t>₹1,970.40</t>
  </si>
  <si>
    <t>₹3,364.80</t>
  </si>
  <si>
    <t>₹1,077.60</t>
  </si>
  <si>
    <t>₹2,469.60</t>
  </si>
  <si>
    <t>₹1,365.60</t>
  </si>
  <si>
    <t>₹794.40</t>
  </si>
  <si>
    <t>₹2,400.00</t>
  </si>
  <si>
    <t>₹1,202.40</t>
  </si>
  <si>
    <t>₹5,616.00</t>
  </si>
  <si>
    <t>₹1,010.40</t>
  </si>
  <si>
    <t>₹410.40</t>
  </si>
  <si>
    <t>₹1,629.60</t>
  </si>
  <si>
    <t>₹4,005.60</t>
  </si>
  <si>
    <t>₹3,117.60</t>
  </si>
  <si>
    <t>₹4,327.20</t>
  </si>
  <si>
    <t>₹3,602.40</t>
  </si>
  <si>
    <t>₹676.80</t>
  </si>
  <si>
    <t>Feedings</t>
  </si>
  <si>
    <t>₹4,320.00</t>
  </si>
  <si>
    <t>₹1,346.40</t>
  </si>
  <si>
    <t>₹1,994.40</t>
  </si>
  <si>
    <t>₹3,386.40</t>
  </si>
  <si>
    <t>₹1,099.20</t>
  </si>
  <si>
    <t>₹2,491.20</t>
  </si>
  <si>
    <t>₹1,392.00</t>
  </si>
  <si>
    <t>₹820.80</t>
  </si>
  <si>
    <t>₹4,800.00</t>
  </si>
  <si>
    <t>₹4,224.00</t>
  </si>
  <si>
    <t>₹1,034.40</t>
  </si>
  <si>
    <t>₹436.80</t>
  </si>
  <si>
    <t>₹1,651.20</t>
  </si>
  <si>
    <t>₹4,632.00</t>
  </si>
  <si>
    <t>₹3,139.20</t>
  </si>
  <si>
    <t>₹4,353.60</t>
  </si>
  <si>
    <t>₹3,628.80</t>
  </si>
  <si>
    <t>₹703.20</t>
  </si>
  <si>
    <t>₹1,368.00</t>
  </si>
  <si>
    <t>₹2,020.80</t>
  </si>
  <si>
    <t>₹3,410.40</t>
  </si>
  <si>
    <t>Sarojini Nagar</t>
  </si>
  <si>
    <t>₹2,512.80</t>
  </si>
  <si>
    <t>₹1,418.40</t>
  </si>
  <si>
    <t>₹842.40</t>
  </si>
  <si>
    <t>₹4,248.00</t>
  </si>
  <si>
    <t>₹1,060.80</t>
  </si>
  <si>
    <t>₹460.80</t>
  </si>
  <si>
    <t>₹1,672.80</t>
  </si>
  <si>
    <t>₹2,808.00</t>
  </si>
  <si>
    <t>₹3,165.60</t>
  </si>
  <si>
    <t>₹4,377.60</t>
  </si>
  <si>
    <t>₹3,655.20</t>
  </si>
  <si>
    <t>₹727.20</t>
  </si>
  <si>
    <t>₹3,921.60</t>
  </si>
  <si>
    <t>₹1,394.40</t>
  </si>
  <si>
    <t>₹2,047.20</t>
  </si>
  <si>
    <t>₹3,432.00</t>
  </si>
  <si>
    <t>₹1,147.20</t>
  </si>
  <si>
    <t>₹2,539.20</t>
  </si>
  <si>
    <t>₹1,442.40</t>
  </si>
  <si>
    <t>₹868.80</t>
  </si>
  <si>
    <t>₹4,269.60</t>
  </si>
  <si>
    <t>₹1,087.20</t>
  </si>
  <si>
    <t>₹482.40</t>
  </si>
  <si>
    <t>₹1,694.40</t>
  </si>
  <si>
    <t>₹5,352.00</t>
  </si>
  <si>
    <t>₹3,189.60</t>
  </si>
  <si>
    <t>₹3,681.60</t>
  </si>
  <si>
    <t>₹748.80</t>
  </si>
  <si>
    <t>₹2,520.00</t>
  </si>
  <si>
    <t>₹1,416.00</t>
  </si>
  <si>
    <t>₹2,073.60</t>
  </si>
  <si>
    <t>₹3,453.60</t>
  </si>
  <si>
    <t>₹1,171.20</t>
  </si>
  <si>
    <t>₹2,560.80</t>
  </si>
  <si>
    <t>₹1,466.40</t>
  </si>
  <si>
    <t>₹892.80</t>
  </si>
  <si>
    <t>₹4,293.60</t>
  </si>
  <si>
    <t>₹1,108.80</t>
  </si>
  <si>
    <t>₹506.40</t>
  </si>
  <si>
    <t>₹1,716.00</t>
  </si>
  <si>
    <t>₹4,536.00</t>
  </si>
  <si>
    <t>₹3,211.20</t>
  </si>
  <si>
    <t>₹4,425.60</t>
  </si>
  <si>
    <t>H&amp;m Visit</t>
  </si>
  <si>
    <t>₹3,708.00</t>
  </si>
  <si>
    <t>₹770.40</t>
  </si>
  <si>
    <t>month</t>
  </si>
  <si>
    <t>weekday</t>
  </si>
  <si>
    <t>mean</t>
  </si>
  <si>
    <t>median</t>
  </si>
  <si>
    <t>mode</t>
  </si>
  <si>
    <t>Category and sum_debit</t>
  </si>
  <si>
    <t>Sum of Debit</t>
  </si>
  <si>
    <t>Sum of Credit</t>
  </si>
  <si>
    <t>Grand Total</t>
  </si>
  <si>
    <t>category and sum of credit</t>
  </si>
  <si>
    <t>Apr-2024</t>
  </si>
  <si>
    <t>Aug-2024</t>
  </si>
  <si>
    <t>Feb-2024</t>
  </si>
  <si>
    <t>Jan-2024</t>
  </si>
  <si>
    <t>Jul-2024</t>
  </si>
  <si>
    <t>Jun-2024</t>
  </si>
  <si>
    <t>Mar-2024</t>
  </si>
  <si>
    <t>May-2024</t>
  </si>
  <si>
    <t>Passive Total</t>
  </si>
  <si>
    <t>Nov-2024</t>
  </si>
  <si>
    <t>Oct-2024</t>
  </si>
  <si>
    <t>Sep-2024</t>
  </si>
  <si>
    <t>Salary Total</t>
  </si>
  <si>
    <t>Insights &amp; Recommendations</t>
  </si>
  <si>
    <r>
      <t>Major expense category</t>
    </r>
    <r>
      <rPr>
        <sz val="10"/>
        <color rgb="FF000000"/>
        <rFont val="Arial"/>
        <scheme val="minor"/>
      </rPr>
      <t xml:space="preserve"> – Living costs take up the largest share of spending.</t>
    </r>
  </si>
  <si>
    <r>
      <t>Highest expense surge</t>
    </r>
    <r>
      <rPr>
        <sz val="10"/>
        <color rgb="FF000000"/>
        <rFont val="Arial"/>
        <scheme val="minor"/>
      </rPr>
      <t xml:space="preserve"> – Noticed in </t>
    </r>
    <r>
      <rPr>
        <b/>
        <sz val="10"/>
        <color rgb="FF000000"/>
        <rFont val="Arial"/>
        <scheme val="minor"/>
      </rPr>
      <t>March</t>
    </r>
    <r>
      <rPr>
        <sz val="10"/>
        <color rgb="FF000000"/>
        <rFont val="Arial"/>
        <scheme val="minor"/>
      </rPr>
      <t xml:space="preserve"> and particularly during the </t>
    </r>
    <r>
      <rPr>
        <b/>
        <sz val="10"/>
        <color rgb="FF000000"/>
        <rFont val="Arial"/>
        <scheme val="minor"/>
      </rPr>
      <t>15th week</t>
    </r>
    <r>
      <rPr>
        <sz val="10"/>
        <color rgb="FF000000"/>
        <rFont val="Arial"/>
        <scheme val="minor"/>
      </rPr>
      <t>.</t>
    </r>
  </si>
  <si>
    <r>
      <t>Monthly financial balance</t>
    </r>
    <r>
      <rPr>
        <sz val="10"/>
        <color rgb="FF000000"/>
        <rFont val="Arial"/>
        <scheme val="minor"/>
      </rPr>
      <t xml:space="preserve"> – Typically shows a </t>
    </r>
    <r>
      <rPr>
        <b/>
        <sz val="10"/>
        <color rgb="FF000000"/>
        <rFont val="Arial"/>
        <scheme val="minor"/>
      </rPr>
      <t>surplus (savings)</t>
    </r>
    <r>
      <rPr>
        <sz val="10"/>
        <color rgb="FF000000"/>
        <rFont val="Arial"/>
        <scheme val="minor"/>
      </rPr>
      <t>.</t>
    </r>
  </si>
  <si>
    <r>
      <t>Income reliance</t>
    </r>
    <r>
      <rPr>
        <sz val="10"/>
        <color rgb="FF000000"/>
        <rFont val="Arial"/>
        <scheme val="minor"/>
      </rPr>
      <t xml:space="preserve"> – Depends mainly on </t>
    </r>
    <r>
      <rPr>
        <b/>
        <sz val="10"/>
        <color rgb="FF000000"/>
        <rFont val="Arial"/>
        <scheme val="minor"/>
      </rPr>
      <t>two primary income sources</t>
    </r>
    <r>
      <rPr>
        <sz val="10"/>
        <color rgb="FF000000"/>
        <rFont val="Arial"/>
        <scheme val="minor"/>
      </rPr>
      <t>.</t>
    </r>
  </si>
  <si>
    <r>
      <t>Practical recommendations</t>
    </r>
    <r>
      <rPr>
        <sz val="10"/>
        <color rgb="FF000000"/>
        <rFont val="Arial"/>
        <scheme val="minor"/>
      </rPr>
      <t xml:space="preserve"> –</t>
    </r>
  </si>
  <si>
    <r>
      <t xml:space="preserve">Maintain the current </t>
    </r>
    <r>
      <rPr>
        <b/>
        <sz val="10"/>
        <color rgb="FF000000"/>
        <rFont val="Arial"/>
        <scheme val="minor"/>
      </rPr>
      <t>54% savings rate</t>
    </r>
    <r>
      <rPr>
        <sz val="10"/>
        <color rgb="FF000000"/>
        <rFont val="Arial"/>
        <scheme val="minor"/>
      </rPr>
      <t xml:space="preserve"> and allocate more funds toward </t>
    </r>
    <r>
      <rPr>
        <b/>
        <sz val="10"/>
        <color rgb="FF000000"/>
        <rFont val="Arial"/>
        <scheme val="minor"/>
      </rPr>
      <t>investments</t>
    </r>
    <r>
      <rPr>
        <sz val="10"/>
        <color rgb="FF000000"/>
        <rFont val="Arial"/>
        <scheme val="minor"/>
      </rPr>
      <t>.</t>
    </r>
  </si>
  <si>
    <r>
      <t xml:space="preserve">Look for opportunities to </t>
    </r>
    <r>
      <rPr>
        <b/>
        <sz val="10"/>
        <color rgb="FF000000"/>
        <rFont val="Arial"/>
        <scheme val="minor"/>
      </rPr>
      <t>lower living costs</t>
    </r>
    <r>
      <rPr>
        <sz val="10"/>
        <color rgb="FF000000"/>
        <rFont val="Arial"/>
        <scheme val="minor"/>
      </rPr>
      <t xml:space="preserve"> wherever possible.</t>
    </r>
  </si>
  <si>
    <r>
      <t xml:space="preserve">Explore </t>
    </r>
    <r>
      <rPr>
        <b/>
        <sz val="10"/>
        <color rgb="FF000000"/>
        <rFont val="Arial"/>
        <scheme val="minor"/>
      </rPr>
      <t>new income channels</t>
    </r>
    <r>
      <rPr>
        <sz val="10"/>
        <color rgb="FF000000"/>
        <rFont val="Arial"/>
        <scheme val="minor"/>
      </rPr>
      <t xml:space="preserve"> to improve financial resilience.</t>
    </r>
  </si>
  <si>
    <r>
      <t xml:space="preserve">Set aside an </t>
    </r>
    <r>
      <rPr>
        <b/>
        <sz val="10"/>
        <color rgb="FF000000"/>
        <rFont val="Arial"/>
        <scheme val="minor"/>
      </rPr>
      <t>emergency fund of around ₹3.6L</t>
    </r>
    <r>
      <rPr>
        <sz val="10"/>
        <color rgb="FF000000"/>
        <rFont val="Arial"/>
        <scheme val="minor"/>
      </rPr>
      <t xml:space="preserve">, which equals about </t>
    </r>
    <r>
      <rPr>
        <b/>
        <sz val="10"/>
        <color rgb="FF000000"/>
        <rFont val="Arial"/>
        <scheme val="minor"/>
      </rPr>
      <t>six months of expenses</t>
    </r>
    <r>
      <rPr>
        <sz val="10"/>
        <color rgb="FF000000"/>
        <rFont val="Arial"/>
        <scheme val="minor"/>
      </rPr>
      <t>.</t>
    </r>
  </si>
  <si>
    <t>Conclusion</t>
  </si>
  <si>
    <t>Overall, the financial position appears healthy with a consistent savings surplus and a disciplined savings rate of 54%. However, dependency on two primary income sources and relatively high living expenses indicate areas for improvement. By continuing to invest savings, reducing discretionary spending, and creating an emergency reserve, long-term financial security and resilience can be further strengthened.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</si>
</sst>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4"/>
      <color rgb="FFFFFFFF"/>
      <name val="Arial"/>
      <scheme val="minor"/>
    </font>
    <font>
      <b/>
      <sz val="11"/>
      <color rgb="FF000000"/>
      <name val="Arial"/>
      <charset val="1"/>
    </font>
    <font>
      <b/>
      <sz val="13.5"/>
      <color rgb="FF000000"/>
      <name val="Arial"/>
      <scheme val="minor"/>
    </font>
    <font>
      <b/>
      <sz val="14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3" fillId="0" borderId="0" xfId="0" applyFont="1" applyAlignment="1"/>
    <xf numFmtId="0" fontId="1" fillId="0" borderId="0" xfId="0" applyFont="1" applyBorder="1" applyAlignment="1"/>
    <xf numFmtId="0" fontId="3" fillId="2" borderId="0" xfId="0" applyFont="1" applyFill="1" applyAlignment="1"/>
    <xf numFmtId="0" fontId="0" fillId="2" borderId="0" xfId="0" applyFont="1" applyFill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3" borderId="0" xfId="0" applyFont="1" applyFill="1" applyAlignment="1"/>
    <xf numFmtId="0" fontId="3" fillId="3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0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5" fillId="0" borderId="0" xfId="0" applyFont="1" applyAlignment="1"/>
    <xf numFmtId="0" fontId="1" fillId="6" borderId="2" xfId="0" applyFont="1" applyFill="1" applyBorder="1" applyAlignment="1"/>
    <xf numFmtId="0" fontId="1" fillId="6" borderId="2" xfId="0" applyFont="1" applyFill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3" xfId="0" applyNumberFormat="1" applyFont="1" applyBorder="1" applyAlignment="1"/>
    <xf numFmtId="0" fontId="1" fillId="6" borderId="4" xfId="0" applyFont="1" applyFill="1" applyBorder="1"/>
    <xf numFmtId="0" fontId="1" fillId="6" borderId="4" xfId="0" applyNumberFormat="1" applyFont="1" applyFill="1" applyBorder="1" applyAlignment="1"/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F1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[(DAF)  - LIP 1 Data.xlsx]pivot table!PivotTable1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D5ADB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DD868"/>
          </a:solidFill>
          <a:ln>
            <a:noFill/>
          </a:ln>
          <a:effectLst/>
        </c:spPr>
      </c:pivotFmt>
      <c:pivotFmt>
        <c:idx val="2"/>
        <c:spPr>
          <a:solidFill>
            <a:srgbClr val="A6E3B7"/>
          </a:solidFill>
          <a:ln>
            <a:noFill/>
          </a:ln>
          <a:effectLst/>
        </c:spPr>
      </c:pivotFmt>
      <c:pivotFmt>
        <c:idx val="3"/>
        <c:spPr>
          <a:solidFill>
            <a:srgbClr val="808080"/>
          </a:solidFill>
          <a:ln>
            <a:noFill/>
          </a:ln>
          <a:effectLst/>
        </c:spPr>
      </c:pivotFmt>
      <c:pivotFmt>
        <c:idx val="4"/>
        <c:spPr>
          <a:solidFill>
            <a:srgbClr val="BE5201"/>
          </a:solidFill>
          <a:ln>
            <a:noFill/>
          </a:ln>
          <a:effectLst/>
        </c:spPr>
      </c:pivotFmt>
      <c:pivotFmt>
        <c:idx val="5"/>
        <c:spPr>
          <a:solidFill>
            <a:srgbClr val="0D5A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08080"/>
          </a:solidFill>
          <a:ln>
            <a:noFill/>
          </a:ln>
          <a:effectLst/>
        </c:spPr>
      </c:pivotFmt>
      <c:pivotFmt>
        <c:idx val="7"/>
        <c:spPr>
          <a:solidFill>
            <a:srgbClr val="A6E3B7"/>
          </a:solidFill>
          <a:ln>
            <a:noFill/>
          </a:ln>
          <a:effectLst/>
        </c:spPr>
      </c:pivotFmt>
      <c:pivotFmt>
        <c:idx val="8"/>
        <c:spPr>
          <a:solidFill>
            <a:srgbClr val="FDD868"/>
          </a:solidFill>
          <a:ln>
            <a:noFill/>
          </a:ln>
          <a:effectLst/>
        </c:spPr>
      </c:pivotFmt>
      <c:pivotFmt>
        <c:idx val="9"/>
        <c:spPr>
          <a:solidFill>
            <a:srgbClr val="BE5201"/>
          </a:solidFill>
          <a:ln>
            <a:noFill/>
          </a:ln>
          <a:effectLst/>
        </c:spPr>
      </c:pivotFmt>
      <c:pivotFmt>
        <c:idx val="10"/>
        <c:spPr>
          <a:solidFill>
            <a:srgbClr val="0D5A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808080"/>
          </a:solidFill>
          <a:ln>
            <a:noFill/>
          </a:ln>
          <a:effectLst/>
        </c:spPr>
      </c:pivotFmt>
      <c:pivotFmt>
        <c:idx val="12"/>
        <c:spPr>
          <a:solidFill>
            <a:srgbClr val="A6E3B7"/>
          </a:solidFill>
          <a:ln>
            <a:noFill/>
          </a:ln>
          <a:effectLst/>
        </c:spPr>
      </c:pivotFmt>
      <c:pivotFmt>
        <c:idx val="13"/>
        <c:spPr>
          <a:solidFill>
            <a:srgbClr val="FDD868"/>
          </a:solidFill>
          <a:ln>
            <a:noFill/>
          </a:ln>
          <a:effectLst/>
        </c:spPr>
      </c:pivotFmt>
      <c:pivotFmt>
        <c:idx val="14"/>
        <c:spPr>
          <a:solidFill>
            <a:srgbClr val="BE5201"/>
          </a:solidFill>
          <a:ln>
            <a:noFill/>
          </a:ln>
          <a:effectLst/>
        </c:spPr>
      </c:pivotFmt>
      <c:pivotFmt>
        <c:idx val="15"/>
        <c:spPr>
          <a:solidFill>
            <a:srgbClr val="0D5A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808080"/>
          </a:solidFill>
          <a:ln>
            <a:noFill/>
          </a:ln>
          <a:effectLst/>
        </c:spPr>
      </c:pivotFmt>
      <c:pivotFmt>
        <c:idx val="17"/>
        <c:spPr>
          <a:solidFill>
            <a:srgbClr val="A6E3B7"/>
          </a:solidFill>
          <a:ln>
            <a:noFill/>
          </a:ln>
          <a:effectLst/>
        </c:spPr>
      </c:pivotFmt>
      <c:pivotFmt>
        <c:idx val="18"/>
        <c:spPr>
          <a:solidFill>
            <a:srgbClr val="FDD868"/>
          </a:solidFill>
          <a:ln>
            <a:noFill/>
          </a:ln>
          <a:effectLst/>
        </c:spPr>
      </c:pivotFmt>
      <c:pivotFmt>
        <c:idx val="19"/>
        <c:spPr>
          <a:solidFill>
            <a:srgbClr val="BE5201"/>
          </a:solidFill>
          <a:ln>
            <a:noFill/>
          </a:ln>
          <a:effectLst/>
        </c:spPr>
      </c:pivotFmt>
      <c:pivotFmt>
        <c:idx val="20"/>
        <c:spPr>
          <a:solidFill>
            <a:srgbClr val="0D5A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808080"/>
          </a:solidFill>
          <a:ln>
            <a:noFill/>
          </a:ln>
          <a:effectLst/>
        </c:spPr>
      </c:pivotFmt>
      <c:pivotFmt>
        <c:idx val="22"/>
        <c:spPr>
          <a:solidFill>
            <a:srgbClr val="A6E3B7"/>
          </a:solidFill>
          <a:ln>
            <a:noFill/>
          </a:ln>
          <a:effectLst/>
        </c:spPr>
      </c:pivotFmt>
      <c:pivotFmt>
        <c:idx val="23"/>
        <c:spPr>
          <a:solidFill>
            <a:srgbClr val="FDD868"/>
          </a:solidFill>
          <a:ln>
            <a:noFill/>
          </a:ln>
          <a:effectLst/>
        </c:spPr>
      </c:pivotFmt>
      <c:pivotFmt>
        <c:idx val="24"/>
        <c:spPr>
          <a:solidFill>
            <a:srgbClr val="BE520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5ADB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8080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2-42EB-86A7-0CAE97F39879}"/>
              </c:ext>
            </c:extLst>
          </c:dPt>
          <c:dPt>
            <c:idx val="2"/>
            <c:invertIfNegative val="0"/>
            <c:bubble3D val="0"/>
            <c:spPr>
              <a:solidFill>
                <a:srgbClr val="A6E3B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32-42EB-86A7-0CAE97F39879}"/>
              </c:ext>
            </c:extLst>
          </c:dPt>
          <c:dPt>
            <c:idx val="3"/>
            <c:invertIfNegative val="0"/>
            <c:bubble3D val="0"/>
            <c:spPr>
              <a:solidFill>
                <a:srgbClr val="FDD86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32-42EB-86A7-0CAE97F39879}"/>
              </c:ext>
            </c:extLst>
          </c:dPt>
          <c:dPt>
            <c:idx val="5"/>
            <c:invertIfNegative val="0"/>
            <c:bubble3D val="0"/>
            <c:spPr>
              <a:solidFill>
                <a:srgbClr val="BE520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832-42EB-86A7-0CAE97F398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table'!$A$4:$A$10</c:f>
              <c:strCache>
                <c:ptCount val="6"/>
                <c:pt idx="0">
                  <c:v>Charity</c:v>
                </c:pt>
                <c:pt idx="1">
                  <c:v>Dining Out</c:v>
                </c:pt>
                <c:pt idx="2">
                  <c:v>Discretionary</c:v>
                </c:pt>
                <c:pt idx="3">
                  <c:v>Living Expenses</c:v>
                </c:pt>
                <c:pt idx="4">
                  <c:v>Medical</c:v>
                </c:pt>
                <c:pt idx="5">
                  <c:v>Transport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13200</c:v>
                </c:pt>
                <c:pt idx="1">
                  <c:v>59373.60000000002</c:v>
                </c:pt>
                <c:pt idx="2">
                  <c:v>168662.40000000002</c:v>
                </c:pt>
                <c:pt idx="3">
                  <c:v>393595.19999999995</c:v>
                </c:pt>
                <c:pt idx="4">
                  <c:v>5400</c:v>
                </c:pt>
                <c:pt idx="5">
                  <c:v>84352.8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32-42EB-86A7-0CAE97F39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6989960"/>
        <c:axId val="1463405063"/>
      </c:barChart>
      <c:catAx>
        <c:axId val="199698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05063"/>
        <c:crosses val="autoZero"/>
        <c:auto val="1"/>
        <c:lblAlgn val="ctr"/>
        <c:lblOffset val="100"/>
        <c:noMultiLvlLbl val="0"/>
      </c:catAx>
      <c:valAx>
        <c:axId val="1463405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89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Expense</a:t>
            </a:r>
          </a:p>
        </c:rich>
      </c:tx>
      <c:layout>
        <c:manualLayout>
          <c:xMode val="edge"/>
          <c:yMode val="edge"/>
          <c:x val="0.40348615433767188"/>
          <c:y val="2.9861132303873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Debit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Expense</c:v>
              </c:pt>
              <c:pt idx="1">
                <c:v>Income</c:v>
              </c:pt>
            </c:strLit>
          </c:cat>
          <c:val>
            <c:numLit>
              <c:formatCode>General</c:formatCode>
              <c:ptCount val="2"/>
              <c:pt idx="0">
                <c:v>724584.00000000023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5BC-4556-AC11-1E8CA1E9BD90}"/>
            </c:ext>
          </c:extLst>
        </c:ser>
        <c:ser>
          <c:idx val="1"/>
          <c:order val="1"/>
          <c:tx>
            <c:v>Sum of Credit</c:v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Expense</c:v>
              </c:pt>
              <c:pt idx="1">
                <c:v>Income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1570560</c:v>
              </c:pt>
            </c:numLit>
          </c:val>
          <c:extLst>
            <c:ext xmlns:c16="http://schemas.microsoft.com/office/drawing/2014/chart" uri="{C3380CC4-5D6E-409C-BE32-E72D297353CC}">
              <c16:uniqueId val="{00000001-05BC-4556-AC11-1E8CA1E9B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293191"/>
        <c:axId val="1283295239"/>
      </c:barChart>
      <c:catAx>
        <c:axId val="12832931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295239"/>
        <c:crosses val="autoZero"/>
        <c:auto val="1"/>
        <c:lblAlgn val="ctr"/>
        <c:lblOffset val="100"/>
        <c:noMultiLvlLbl val="0"/>
      </c:catAx>
      <c:valAx>
        <c:axId val="1283295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29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Debit</c:v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A7-4F33-800B-EE13D2BF943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A7-4F33-800B-EE13D2BF943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A7-4F33-800B-EE13D2BF943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A7-4F33-800B-EE13D2BF943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A7-4F33-800B-EE13D2BF9435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A7-4F33-800B-EE13D2BF9435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A7-4F33-800B-EE13D2BF9435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0A7-4F33-800B-EE13D2BF9435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A7-4F33-800B-EE13D2BF9435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A7-4F33-800B-EE13D2BF9435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0A7-4F33-800B-EE13D2BF9435}"/>
              </c:ext>
            </c:extLst>
          </c:dPt>
          <c:cat>
            <c:strLit>
              <c:ptCount val="11"/>
              <c:pt idx="0">
                <c:v>Apr-2024</c:v>
              </c:pt>
              <c:pt idx="1">
                <c:v>Aug-2024</c:v>
              </c:pt>
              <c:pt idx="2">
                <c:v>Feb-2024</c:v>
              </c:pt>
              <c:pt idx="3">
                <c:v>Jan-2024</c:v>
              </c:pt>
              <c:pt idx="4">
                <c:v>Jul-2024</c:v>
              </c:pt>
              <c:pt idx="5">
                <c:v>Jun-2024</c:v>
              </c:pt>
              <c:pt idx="6">
                <c:v>Mar-2024</c:v>
              </c:pt>
              <c:pt idx="7">
                <c:v>May-2024</c:v>
              </c:pt>
              <c:pt idx="8">
                <c:v>Nov-2024</c:v>
              </c:pt>
              <c:pt idx="9">
                <c:v>Oct-2024</c:v>
              </c:pt>
              <c:pt idx="10">
                <c:v>Sep-2024</c:v>
              </c:pt>
            </c:strLit>
          </c:cat>
          <c:val>
            <c:numLit>
              <c:formatCode>General</c:formatCode>
              <c:ptCount val="11"/>
              <c:pt idx="0">
                <c:v>62592</c:v>
              </c:pt>
              <c:pt idx="1">
                <c:v>72573.60000000002</c:v>
              </c:pt>
              <c:pt idx="2">
                <c:v>70646.399999999994</c:v>
              </c:pt>
              <c:pt idx="3">
                <c:v>53496</c:v>
              </c:pt>
              <c:pt idx="4">
                <c:v>72832.799999999988</c:v>
              </c:pt>
              <c:pt idx="5">
                <c:v>69372.000000000015</c:v>
              </c:pt>
              <c:pt idx="6">
                <c:v>83006.399999999994</c:v>
              </c:pt>
              <c:pt idx="7">
                <c:v>76272</c:v>
              </c:pt>
              <c:pt idx="8">
                <c:v>17251.2</c:v>
              </c:pt>
              <c:pt idx="9">
                <c:v>74889.600000000006</c:v>
              </c:pt>
              <c:pt idx="10">
                <c:v>71651.999999999985</c:v>
              </c:pt>
            </c:numLit>
          </c:val>
          <c:extLst>
            <c:ext xmlns:c16="http://schemas.microsoft.com/office/drawing/2014/chart" uri="{C3380CC4-5D6E-409C-BE32-E72D297353CC}">
              <c16:uniqueId val="{00000016-E0A7-4F33-800B-EE13D2BF9435}"/>
            </c:ext>
          </c:extLst>
        </c:ser>
        <c:ser>
          <c:idx val="1"/>
          <c:order val="1"/>
          <c:tx>
            <c:v>Sum of Credit</c:v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0A7-4F33-800B-EE13D2BF943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0A7-4F33-800B-EE13D2BF943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0A7-4F33-800B-EE13D2BF943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0A7-4F33-800B-EE13D2BF943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0A7-4F33-800B-EE13D2BF9435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E0A7-4F33-800B-EE13D2BF9435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E0A7-4F33-800B-EE13D2BF9435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E0A7-4F33-800B-EE13D2BF9435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E0A7-4F33-800B-EE13D2BF9435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0A7-4F33-800B-EE13D2BF9435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0A7-4F33-800B-EE13D2BF9435}"/>
              </c:ext>
            </c:extLst>
          </c:dPt>
          <c:cat>
            <c:strLit>
              <c:ptCount val="11"/>
              <c:pt idx="0">
                <c:v>Apr-2024</c:v>
              </c:pt>
              <c:pt idx="1">
                <c:v>Aug-2024</c:v>
              </c:pt>
              <c:pt idx="2">
                <c:v>Feb-2024</c:v>
              </c:pt>
              <c:pt idx="3">
                <c:v>Jan-2024</c:v>
              </c:pt>
              <c:pt idx="4">
                <c:v>Jul-2024</c:v>
              </c:pt>
              <c:pt idx="5">
                <c:v>Jun-2024</c:v>
              </c:pt>
              <c:pt idx="6">
                <c:v>Mar-2024</c:v>
              </c:pt>
              <c:pt idx="7">
                <c:v>May-2024</c:v>
              </c:pt>
              <c:pt idx="8">
                <c:v>Nov-2024</c:v>
              </c:pt>
              <c:pt idx="9">
                <c:v>Oct-2024</c:v>
              </c:pt>
              <c:pt idx="10">
                <c:v>Sep-2024</c:v>
              </c:pt>
            </c:strLit>
          </c:cat>
          <c:val>
            <c:numLit>
              <c:formatCode>General</c:formatCode>
              <c:ptCount val="11"/>
              <c:pt idx="0">
                <c:v>176160</c:v>
              </c:pt>
              <c:pt idx="1">
                <c:v>139200</c:v>
              </c:pt>
              <c:pt idx="2">
                <c:v>139200</c:v>
              </c:pt>
              <c:pt idx="3">
                <c:v>336000</c:v>
              </c:pt>
              <c:pt idx="4">
                <c:v>124800</c:v>
              </c:pt>
              <c:pt idx="5">
                <c:v>122400</c:v>
              </c:pt>
              <c:pt idx="6">
                <c:v>144000</c:v>
              </c:pt>
              <c:pt idx="7">
                <c:v>144000</c:v>
              </c:pt>
              <c:pt idx="8">
                <c:v>0</c:v>
              </c:pt>
              <c:pt idx="9">
                <c:v>122400</c:v>
              </c:pt>
              <c:pt idx="10">
                <c:v>122400</c:v>
              </c:pt>
            </c:numLit>
          </c:val>
          <c:extLst>
            <c:ext xmlns:c16="http://schemas.microsoft.com/office/drawing/2014/chart" uri="{C3380CC4-5D6E-409C-BE32-E72D297353CC}">
              <c16:uniqueId val="{0000002D-E0A7-4F33-800B-EE13D2BF9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[(DAF)  - LIP 1 Data.xlsx]pivot 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and sum debit</a:t>
            </a:r>
          </a:p>
        </c:rich>
      </c:tx>
      <c:layout>
        <c:manualLayout>
          <c:xMode val="edge"/>
          <c:yMode val="edge"/>
          <c:x val="0.45184718915483763"/>
          <c:y val="2.9861132303873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22114"/>
          </a:solidFill>
          <a:ln>
            <a:noFill/>
          </a:ln>
          <a:effectLst/>
        </c:spPr>
      </c:pivotFmt>
      <c:pivotFmt>
        <c:idx val="2"/>
        <c:spPr>
          <a:solidFill>
            <a:srgbClr val="FFFF00"/>
          </a:solidFill>
          <a:ln>
            <a:noFill/>
          </a:ln>
          <a:effectLst/>
        </c:spPr>
      </c:pivotFmt>
      <c:pivotFmt>
        <c:idx val="3"/>
        <c:spPr>
          <a:solidFill>
            <a:srgbClr val="1A5529"/>
          </a:solidFill>
          <a:ln>
            <a:noFill/>
          </a:ln>
          <a:effectLst/>
        </c:spPr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5529"/>
          </a:solidFill>
          <a:ln>
            <a:noFill/>
          </a:ln>
          <a:effectLst/>
        </c:spPr>
      </c:pivotFmt>
      <c:pivotFmt>
        <c:idx val="6"/>
        <c:spPr>
          <a:solidFill>
            <a:srgbClr val="FFFF00"/>
          </a:solidFill>
          <a:ln>
            <a:noFill/>
          </a:ln>
          <a:effectLst/>
        </c:spPr>
      </c:pivotFmt>
      <c:pivotFmt>
        <c:idx val="7"/>
        <c:spPr>
          <a:solidFill>
            <a:srgbClr val="C22114"/>
          </a:solidFill>
          <a:ln>
            <a:noFill/>
          </a:ln>
          <a:effectLst/>
        </c:spPr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A5529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C22114"/>
          </a:solidFill>
          <a:ln>
            <a:noFill/>
          </a:ln>
          <a:effectLst/>
        </c:spPr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1A5529"/>
          </a:solidFill>
          <a:ln>
            <a:noFill/>
          </a:ln>
          <a:effectLst/>
        </c:spPr>
      </c:pivotFmt>
      <c:pivotFmt>
        <c:idx val="14"/>
        <c:spPr>
          <a:solidFill>
            <a:srgbClr val="FFFF00"/>
          </a:solidFill>
          <a:ln>
            <a:noFill/>
          </a:ln>
          <a:effectLst/>
        </c:spPr>
      </c:pivotFmt>
      <c:pivotFmt>
        <c:idx val="15"/>
        <c:spPr>
          <a:solidFill>
            <a:srgbClr val="C22114"/>
          </a:solidFill>
          <a:ln>
            <a:noFill/>
          </a:ln>
          <a:effectLst/>
        </c:spPr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1A5529"/>
          </a:solidFill>
          <a:ln>
            <a:noFill/>
          </a:ln>
          <a:effectLst/>
        </c:spPr>
      </c:pivotFmt>
      <c:pivotFmt>
        <c:idx val="18"/>
        <c:spPr>
          <a:solidFill>
            <a:srgbClr val="FFFF00"/>
          </a:solidFill>
          <a:ln>
            <a:noFill/>
          </a:ln>
          <a:effectLst/>
        </c:spPr>
      </c:pivotFmt>
      <c:pivotFmt>
        <c:idx val="19"/>
        <c:spPr>
          <a:solidFill>
            <a:srgbClr val="C2211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A552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83-401D-9FFE-96E1F1C491B5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83-401D-9FFE-96E1F1C491B5}"/>
              </c:ext>
            </c:extLst>
          </c:dPt>
          <c:dPt>
            <c:idx val="2"/>
            <c:invertIfNegative val="0"/>
            <c:bubble3D val="0"/>
            <c:spPr>
              <a:solidFill>
                <a:srgbClr val="C2211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83-401D-9FFE-96E1F1C491B5}"/>
              </c:ext>
            </c:extLst>
          </c:dPt>
          <c:cat>
            <c:multiLvlStrRef>
              <c:f>'pivot table'!$A$100:$B$106</c:f>
              <c:multiLvlStrCache>
                <c:ptCount val="4"/>
                <c:lvl>
                  <c:pt idx="0">
                    <c:v>Teachable</c:v>
                  </c:pt>
                  <c:pt idx="1">
                    <c:v>YouTube</c:v>
                  </c:pt>
                  <c:pt idx="2">
                    <c:v>Data with Decision</c:v>
                  </c:pt>
                  <c:pt idx="3">
                    <c:v>Nextleap DAF</c:v>
                  </c:pt>
                </c:lvl>
                <c:lvl>
                  <c:pt idx="0">
                    <c:v>Passive</c:v>
                  </c:pt>
                  <c:pt idx="2">
                    <c:v>Salary</c:v>
                  </c:pt>
                </c:lvl>
              </c:multiLvlStrCache>
            </c:multiLvlStrRef>
          </c:cat>
          <c:val>
            <c:numRef>
              <c:f>'pivot table'!$C$100:$C$106</c:f>
              <c:numCache>
                <c:formatCode>General</c:formatCode>
                <c:ptCount val="4"/>
                <c:pt idx="0">
                  <c:v>108000</c:v>
                </c:pt>
                <c:pt idx="1">
                  <c:v>262560</c:v>
                </c:pt>
                <c:pt idx="2">
                  <c:v>1080000</c:v>
                </c:pt>
                <c:pt idx="3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83-401D-9FFE-96E1F1C49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48488"/>
        <c:axId val="182550536"/>
      </c:barChart>
      <c:catAx>
        <c:axId val="18254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0536"/>
        <c:crosses val="autoZero"/>
        <c:auto val="1"/>
        <c:lblAlgn val="ctr"/>
        <c:lblOffset val="100"/>
        <c:noMultiLvlLbl val="0"/>
      </c:catAx>
      <c:valAx>
        <c:axId val="18255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9525</xdr:rowOff>
    </xdr:from>
    <xdr:to>
      <xdr:col>4</xdr:col>
      <xdr:colOff>781050</xdr:colOff>
      <xdr:row>9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D25105C-CAD0-E7B1-CD84-A5795B85CCBC}"/>
            </a:ext>
          </a:extLst>
        </xdr:cNvPr>
        <xdr:cNvSpPr/>
      </xdr:nvSpPr>
      <xdr:spPr>
        <a:xfrm>
          <a:off x="1828800" y="1419225"/>
          <a:ext cx="1390650" cy="5238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Average of Debit </a:t>
          </a:r>
        </a:p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1490.9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19050</xdr:colOff>
      <xdr:row>7</xdr:row>
      <xdr:rowOff>0</xdr:rowOff>
    </xdr:from>
    <xdr:to>
      <xdr:col>8</xdr:col>
      <xdr:colOff>104775</xdr:colOff>
      <xdr:row>10</xdr:row>
      <xdr:rowOff>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B8DAE152-C8E6-4E68-81FD-8CEF543BB544}"/>
            </a:ext>
            <a:ext uri="{147F2762-F138-4A5C-976F-8EAC2B608ADB}">
              <a16:predDERef xmlns:a16="http://schemas.microsoft.com/office/drawing/2014/main" pred="{3D25105C-CAD0-E7B1-CD84-A5795B85CCBC}"/>
            </a:ext>
          </a:extLst>
        </xdr:cNvPr>
        <xdr:cNvSpPr/>
      </xdr:nvSpPr>
      <xdr:spPr>
        <a:xfrm>
          <a:off x="4238625" y="1409700"/>
          <a:ext cx="1304925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sum of Debit</a:t>
          </a:r>
        </a:p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724584</a:t>
          </a:r>
        </a:p>
      </xdr:txBody>
    </xdr:sp>
    <xdr:clientData/>
  </xdr:twoCellAnchor>
  <xdr:twoCellAnchor>
    <xdr:from>
      <xdr:col>2</xdr:col>
      <xdr:colOff>47625</xdr:colOff>
      <xdr:row>12</xdr:row>
      <xdr:rowOff>142875</xdr:rowOff>
    </xdr:from>
    <xdr:to>
      <xdr:col>9</xdr:col>
      <xdr:colOff>352425</xdr:colOff>
      <xdr:row>29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4CCE22-53EA-F243-E436-086AAE4BBB78}"/>
            </a:ext>
            <a:ext uri="{147F2762-F138-4A5C-976F-8EAC2B608ADB}">
              <a16:predDERef xmlns:a16="http://schemas.microsoft.com/office/drawing/2014/main" pred="{B8DAE152-C8E6-4E68-81FD-8CEF543BB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12</xdr:row>
      <xdr:rowOff>123825</xdr:rowOff>
    </xdr:from>
    <xdr:to>
      <xdr:col>1</xdr:col>
      <xdr:colOff>581025</xdr:colOff>
      <xdr:row>29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57FF9478-9CF4-21CF-C5BC-74BA03BCFABF}"/>
                </a:ext>
                <a:ext uri="{147F2762-F138-4A5C-976F-8EAC2B608ADB}">
                  <a16:predDERef xmlns:a16="http://schemas.microsoft.com/office/drawing/2014/main" pred="{204CCE22-53EA-F243-E436-086AAE4BBB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43150"/>
              <a:ext cx="1190625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10</xdr:col>
      <xdr:colOff>19050</xdr:colOff>
      <xdr:row>6</xdr:row>
      <xdr:rowOff>133350</xdr:rowOff>
    </xdr:from>
    <xdr:to>
      <xdr:col>12</xdr:col>
      <xdr:colOff>247650</xdr:colOff>
      <xdr:row>9</xdr:row>
      <xdr:rowOff>142875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D3090D4F-B62C-46A9-9759-17628A210E9E}"/>
            </a:ext>
            <a:ext uri="{147F2762-F138-4A5C-976F-8EAC2B608ADB}">
              <a16:predDERef xmlns:a16="http://schemas.microsoft.com/office/drawing/2014/main" pred="{57FF9478-9CF4-21CF-C5BC-74BA03BCFABF}"/>
            </a:ext>
          </a:extLst>
        </xdr:cNvPr>
        <xdr:cNvSpPr/>
      </xdr:nvSpPr>
      <xdr:spPr>
        <a:xfrm>
          <a:off x="6677025" y="1381125"/>
          <a:ext cx="1447800" cy="552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sum of Credit</a:t>
          </a:r>
        </a:p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1570560</a:t>
          </a:r>
        </a:p>
      </xdr:txBody>
    </xdr:sp>
    <xdr:clientData/>
  </xdr:twoCellAnchor>
  <xdr:twoCellAnchor>
    <xdr:from>
      <xdr:col>11</xdr:col>
      <xdr:colOff>285750</xdr:colOff>
      <xdr:row>12</xdr:row>
      <xdr:rowOff>152400</xdr:rowOff>
    </xdr:from>
    <xdr:to>
      <xdr:col>18</xdr:col>
      <xdr:colOff>590550</xdr:colOff>
      <xdr:row>29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302FE9-66E9-73EE-AEEC-54B3B57D6900}"/>
            </a:ext>
            <a:ext uri="{147F2762-F138-4A5C-976F-8EAC2B608ADB}">
              <a16:predDERef xmlns:a16="http://schemas.microsoft.com/office/drawing/2014/main" pred="{D3090D4F-B62C-46A9-9759-17628A210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30</xdr:row>
      <xdr:rowOff>123825</xdr:rowOff>
    </xdr:from>
    <xdr:to>
      <xdr:col>9</xdr:col>
      <xdr:colOff>381000</xdr:colOff>
      <xdr:row>47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38ED68-B34D-002F-109A-D8F1BEE507C9}"/>
            </a:ext>
            <a:ext uri="{147F2762-F138-4A5C-976F-8EAC2B608ADB}">
              <a16:predDERef xmlns:a16="http://schemas.microsoft.com/office/drawing/2014/main" pred="{02302FE9-66E9-73EE-AEEC-54B3B57D6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923925</xdr:colOff>
      <xdr:row>6</xdr:row>
      <xdr:rowOff>28575</xdr:rowOff>
    </xdr:from>
    <xdr:to>
      <xdr:col>15</xdr:col>
      <xdr:colOff>695325</xdr:colOff>
      <xdr:row>10</xdr:row>
      <xdr:rowOff>28575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6B6A882-DC2E-449F-BC91-CEAB7B069A0A}"/>
            </a:ext>
            <a:ext uri="{147F2762-F138-4A5C-976F-8EAC2B608ADB}">
              <a16:predDERef xmlns:a16="http://schemas.microsoft.com/office/drawing/2014/main" pred="{BE38ED68-B34D-002F-109A-D8F1BEE507C9}"/>
            </a:ext>
          </a:extLst>
        </xdr:cNvPr>
        <xdr:cNvSpPr/>
      </xdr:nvSpPr>
      <xdr:spPr>
        <a:xfrm>
          <a:off x="9410700" y="1276350"/>
          <a:ext cx="1685925" cy="733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Credit -&gt; 100.00%</a:t>
          </a:r>
        </a:p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Debit % -&gt; 46% </a:t>
          </a:r>
        </a:p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Saving% -&gt;  54% </a:t>
          </a:r>
        </a:p>
        <a:p>
          <a:pPr marL="0" indent="0" algn="ctr"/>
          <a:endParaRPr lang="en-US" sz="1100" b="0" i="0" u="none" strike="noStrike">
            <a:solidFill>
              <a:schemeClr val="lt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381000</xdr:colOff>
      <xdr:row>13</xdr:row>
      <xdr:rowOff>9525</xdr:rowOff>
    </xdr:from>
    <xdr:to>
      <xdr:col>11</xdr:col>
      <xdr:colOff>257175</xdr:colOff>
      <xdr:row>29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y Type">
              <a:extLst>
                <a:ext uri="{FF2B5EF4-FFF2-40B4-BE49-F238E27FC236}">
                  <a16:creationId xmlns:a16="http://schemas.microsoft.com/office/drawing/2014/main" id="{860CF9C1-6059-7E4C-2838-AAE1360ED4C0}"/>
                </a:ext>
                <a:ext uri="{147F2762-F138-4A5C-976F-8EAC2B608ADB}">
                  <a16:predDERef xmlns:a16="http://schemas.microsoft.com/office/drawing/2014/main" pred="{06B6A882-DC2E-449F-BC91-CEAB7B069A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9375" y="2476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30</xdr:row>
      <xdr:rowOff>142875</xdr:rowOff>
    </xdr:from>
    <xdr:to>
      <xdr:col>2</xdr:col>
      <xdr:colOff>9525</xdr:colOff>
      <xdr:row>47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month">
              <a:extLst>
                <a:ext uri="{FF2B5EF4-FFF2-40B4-BE49-F238E27FC236}">
                  <a16:creationId xmlns:a16="http://schemas.microsoft.com/office/drawing/2014/main" id="{E2C6CF07-B598-E29A-545D-CF59C7F32A78}"/>
                </a:ext>
                <a:ext uri="{147F2762-F138-4A5C-976F-8EAC2B608ADB}">
                  <a16:predDERef xmlns:a16="http://schemas.microsoft.com/office/drawing/2014/main" pred="{860CF9C1-6059-7E4C-2838-AAE1360ED4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53025"/>
              <a:ext cx="1228725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11</xdr:col>
      <xdr:colOff>352425</xdr:colOff>
      <xdr:row>30</xdr:row>
      <xdr:rowOff>142875</xdr:rowOff>
    </xdr:from>
    <xdr:to>
      <xdr:col>17</xdr:col>
      <xdr:colOff>314325</xdr:colOff>
      <xdr:row>47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5741341-0BDE-336D-DC4B-2B7BC85F2A62}"/>
            </a:ext>
            <a:ext uri="{147F2762-F138-4A5C-976F-8EAC2B608ADB}">
              <a16:predDERef xmlns:a16="http://schemas.microsoft.com/office/drawing/2014/main" pred="{E2C6CF07-B598-E29A-545D-CF59C7F32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457200</xdr:colOff>
      <xdr:row>30</xdr:row>
      <xdr:rowOff>133350</xdr:rowOff>
    </xdr:from>
    <xdr:to>
      <xdr:col>11</xdr:col>
      <xdr:colOff>333375</xdr:colOff>
      <xdr:row>47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Category 1">
              <a:extLst>
                <a:ext uri="{FF2B5EF4-FFF2-40B4-BE49-F238E27FC236}">
                  <a16:creationId xmlns:a16="http://schemas.microsoft.com/office/drawing/2014/main" id="{7BD7FF68-14DA-D304-4C35-1FC389B67E0A}"/>
                </a:ext>
                <a:ext uri="{147F2762-F138-4A5C-976F-8EAC2B608ADB}">
                  <a16:predDERef xmlns:a16="http://schemas.microsoft.com/office/drawing/2014/main" pred="{D5741341-0BDE-336D-DC4B-2B7BC85F2A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5143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19.542345254631" createdVersion="8" refreshedVersion="8" minRefreshableVersion="3" recordCount="486" xr:uid="{09CBF6AE-5C34-4620-A857-A1307DA7AD29}">
  <cacheSource type="worksheet">
    <worksheetSource ref="A1:G487" sheet="clean_data"/>
  </cacheSource>
  <cacheFields count="7">
    <cacheField name="Date" numFmtId="164">
      <sharedItems containsSemiMixedTypes="0" containsNonDate="0" containsDate="1" containsString="0" minDate="2024-01-09T00:00:00" maxDate="2024-11-05T00:00:00" count="272">
        <d v="2024-01-09T00:00:00"/>
        <d v="2024-01-10T00:00:00"/>
        <d v="2024-01-11T00:00:00"/>
        <d v="2024-01-12T00:00:00"/>
        <d v="2024-01-13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4T00:00:00"/>
        <d v="2024-06-03T00:00:00"/>
        <d v="2024-06-05T00:00:00"/>
        <d v="2024-06-07T00:00:00"/>
        <d v="2024-06-08T00:00:00"/>
        <d v="2024-06-09T00:00:00"/>
        <d v="2024-06-10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9T00:00:00"/>
        <d v="2024-07-10T00:00:00"/>
        <d v="2024-07-11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6T00:00:00"/>
        <d v="2024-08-07T00:00:00"/>
        <d v="2024-08-09T00:00:00"/>
        <d v="2024-08-10T00:00:00"/>
        <d v="2024-08-11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6T00:00:00"/>
        <d v="2024-09-07T00:00:00"/>
        <d v="2024-09-09T00:00:00"/>
        <d v="2024-09-10T00:00:00"/>
        <d v="2024-09-11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7T00:00:00"/>
        <d v="2024-10-08T00:00:00"/>
        <d v="2024-10-10T00:00:00"/>
        <d v="2024-10-11T00:00:00"/>
        <d v="2024-10-12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</sharedItems>
    </cacheField>
    <cacheField name="Description" numFmtId="0">
      <sharedItems count="30">
        <s v="Nextleap DAF"/>
        <s v="Drink"/>
        <s v="Flat Expenses"/>
        <s v="EMI"/>
        <s v="Green's"/>
        <s v="Power source"/>
        <s v="Fuel"/>
        <s v="Cinemas"/>
        <s v="Zara Clothes"/>
        <s v="Swiggy"/>
        <s v="Ola"/>
        <s v="Onlne earning"/>
        <s v="Phone"/>
        <s v="Family and Friends surprises"/>
        <s v="Online streaming"/>
        <s v="Office Lunch"/>
        <s v="Evening snacks"/>
        <s v="Orphanage"/>
        <s v="Trainers"/>
        <s v="Hangingout/Ticket"/>
        <s v="Myntra Accesories"/>
        <s v="Global Fashion"/>
        <s v="Taken medication"/>
        <s v="Decathlon"/>
        <s v="Foodary"/>
        <s v="Clubing"/>
        <s v="Home décor"/>
        <s v="Feedings"/>
        <s v="Sarojini Nagar"/>
        <s v="H&amp;m Visit"/>
      </sharedItems>
    </cacheField>
    <cacheField name="Debit" numFmtId="0">
      <sharedItems containsSemiMixedTypes="0" containsString="0" containsNumber="1" minValue="0" maxValue="21600" count="177">
        <n v="0"/>
        <n v="120"/>
        <n v="21600"/>
        <n v="3600"/>
        <n v="3720"/>
        <n v="1200"/>
        <n v="1848"/>
        <n v="3240"/>
        <n v="960"/>
        <n v="2352"/>
        <n v="1248"/>
        <n v="672"/>
        <n v="1080"/>
        <n v="768"/>
        <n v="4080"/>
        <n v="888"/>
        <n v="288"/>
        <n v="1320"/>
        <n v="1512"/>
        <n v="3888"/>
        <n v="3000"/>
        <n v="4200"/>
        <n v="3480"/>
        <n v="552"/>
        <n v="4920"/>
        <n v="1226.4000000000001"/>
        <n v="1872"/>
        <n v="3261.6"/>
        <n v="981.6"/>
        <n v="2376"/>
        <n v="1272"/>
        <n v="693.6"/>
        <n v="1101.5999999999999"/>
        <n v="840"/>
        <n v="4104"/>
        <n v="909.6"/>
        <n v="309.60000000000002"/>
        <n v="1538.4"/>
        <n v="3909.6"/>
        <n v="3021.6"/>
        <n v="3288"/>
        <n v="3506.4"/>
        <n v="578.4"/>
        <n v="3576"/>
        <n v="1250.4000000000001"/>
        <n v="1893.6"/>
        <n v="1003.2"/>
        <n v="2397.6"/>
        <n v="1296"/>
        <n v="720"/>
        <n v="1800"/>
        <n v="1123.2"/>
        <n v="4125.6000000000004"/>
        <n v="936"/>
        <n v="336"/>
        <n v="1560"/>
        <n v="5016"/>
        <n v="3048"/>
        <n v="4252.8"/>
        <n v="3530.4"/>
        <n v="600"/>
        <n v="360"/>
        <n v="3796.8"/>
        <n v="1276.8"/>
        <n v="1917.6"/>
        <n v="1027.2"/>
        <n v="2421.6"/>
        <n v="1317.6"/>
        <n v="744"/>
        <n v="1149.5999999999999"/>
        <n v="4152"/>
        <n v="962.4"/>
        <n v="362.4"/>
        <n v="1584"/>
        <n v="3957.6"/>
        <n v="3069.6"/>
        <n v="7200"/>
        <n v="3554.4"/>
        <n v="626.4"/>
        <n v="1298.4000000000001"/>
        <n v="1944"/>
        <n v="3338.4"/>
        <n v="1053.5999999999999"/>
        <n v="2443.1999999999998"/>
        <n v="1341.6"/>
        <n v="1176"/>
        <n v="4176"/>
        <n v="986.4"/>
        <n v="388.8"/>
        <n v="1608"/>
        <n v="3979.2"/>
        <n v="3091.2"/>
        <n v="5640"/>
        <n v="3580.8"/>
        <n v="652.79999999999995"/>
        <n v="2856"/>
        <n v="1970.4"/>
        <n v="3364.8"/>
        <n v="1077.5999999999999"/>
        <n v="2469.6"/>
        <n v="1365.6"/>
        <n v="794.4"/>
        <n v="1202.4000000000001"/>
        <n v="5616"/>
        <n v="1010.4"/>
        <n v="410.4"/>
        <n v="1629.6"/>
        <n v="4005.6"/>
        <n v="3117.6"/>
        <n v="4327.2"/>
        <n v="3602.4"/>
        <n v="676.8"/>
        <n v="4320"/>
        <n v="1346.4"/>
        <n v="1994.4"/>
        <n v="3386.4"/>
        <n v="1099.2"/>
        <n v="2491.1999999999998"/>
        <n v="1392"/>
        <n v="820.8"/>
        <n v="4224"/>
        <n v="1034.4000000000001"/>
        <n v="436.8"/>
        <n v="1651.2"/>
        <n v="4632"/>
        <n v="3139.2"/>
        <n v="4353.6000000000004"/>
        <n v="3628.8"/>
        <n v="703.2"/>
        <n v="1368"/>
        <n v="2020.8"/>
        <n v="3410.4"/>
        <n v="2512.8000000000002"/>
        <n v="1418.4"/>
        <n v="842.4"/>
        <n v="4248"/>
        <n v="1060.8"/>
        <n v="460.8"/>
        <n v="1672.8"/>
        <n v="2808"/>
        <n v="3165.6"/>
        <n v="4377.6000000000004"/>
        <n v="3655.2"/>
        <n v="727.2"/>
        <n v="3921.6"/>
        <n v="1394.4"/>
        <n v="2047.2"/>
        <n v="3432"/>
        <n v="1147.2"/>
        <n v="2539.1999999999998"/>
        <n v="1442.4"/>
        <n v="868.8"/>
        <n v="4269.6000000000004"/>
        <n v="1087.2"/>
        <n v="482.4"/>
        <n v="1694.4"/>
        <n v="5352"/>
        <n v="3189.6"/>
        <n v="3681.6"/>
        <n v="748.8"/>
        <n v="2520"/>
        <n v="1416"/>
        <n v="2073.6"/>
        <n v="3453.6"/>
        <n v="1171.2"/>
        <n v="2560.8000000000002"/>
        <n v="1466.4"/>
        <n v="892.8"/>
        <n v="4293.6000000000004"/>
        <n v="1108.8"/>
        <n v="506.4"/>
        <n v="1716"/>
        <n v="4536"/>
        <n v="3211.2"/>
        <n v="4425.6000000000004"/>
        <n v="3708"/>
        <n v="770.4"/>
      </sharedItems>
    </cacheField>
    <cacheField name="Credit" numFmtId="0">
      <sharedItems containsSemiMixedTypes="0" containsString="0" containsNumber="1" containsInteger="1" minValue="0" maxValue="120000" count="8">
        <n v="120000"/>
        <n v="0"/>
        <n v="108000"/>
        <n v="19200"/>
        <n v="24000"/>
        <n v="56160"/>
        <n v="2400"/>
        <n v="4800"/>
      </sharedItems>
    </cacheField>
    <cacheField name="Sub-category" numFmtId="0">
      <sharedItems count="19">
        <s v="Nextleap DAF"/>
        <s v="Coffee"/>
        <s v="Rent"/>
        <s v="Cash loan"/>
        <s v="Groceries"/>
        <s v="Gas/Electrics"/>
        <s v="Entertainment"/>
        <s v="Clothes"/>
        <s v="Restaurant"/>
        <s v="Taxi"/>
        <s v="YouTube"/>
        <s v="Teachable"/>
        <s v="Phone"/>
        <s v="Gifts"/>
        <s v="Donation"/>
        <s v="Fueling"/>
        <s v="Data with Decision"/>
        <s v="Doctor"/>
        <s v="Furnishings"/>
      </sharedItems>
    </cacheField>
    <cacheField name="Category" numFmtId="0">
      <sharedItems count="8">
        <s v="Salary"/>
        <s v="Dining Out"/>
        <s v="Living Expenses"/>
        <s v="Transport"/>
        <s v="Discretionary"/>
        <s v="Passive"/>
        <s v="Charity"/>
        <s v="Medical"/>
      </sharedItems>
    </cacheField>
    <cacheField name="Category Type" numFmtId="0">
      <sharedItems count="2">
        <s v="Income"/>
        <s v="Expense"/>
      </sharedItems>
    </cacheField>
  </cacheFields>
  <extLst>
    <ext xmlns:x14="http://schemas.microsoft.com/office/spreadsheetml/2009/9/main" uri="{725AE2AE-9491-48be-B2B4-4EB974FC3084}">
      <x14:pivotCacheDefinition pivotCacheId="198970193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0.710897337965" createdVersion="8" refreshedVersion="8" minRefreshableVersion="3" recordCount="486" xr:uid="{F2F13C59-8174-402F-B92F-26DAF8395531}">
  <cacheSource type="worksheet">
    <worksheetSource ref="A1:H487" sheet="clean_data"/>
  </cacheSource>
  <cacheFields count="8">
    <cacheField name="Date" numFmtId="164">
      <sharedItems containsSemiMixedTypes="0" containsNonDate="0" containsDate="1" containsString="0" minDate="2024-01-09T00:00:00" maxDate="2024-11-05T00:00:00"/>
    </cacheField>
    <cacheField name="Description" numFmtId="0">
      <sharedItems/>
    </cacheField>
    <cacheField name="Debit" numFmtId="0">
      <sharedItems containsSemiMixedTypes="0" containsString="0" containsNumber="1" minValue="0" maxValue="21600"/>
    </cacheField>
    <cacheField name="Credit" numFmtId="0">
      <sharedItems containsSemiMixedTypes="0" containsString="0" containsNumber="1" containsInteger="1" minValue="0" maxValue="120000"/>
    </cacheField>
    <cacheField name="Sub-category" numFmtId="0">
      <sharedItems/>
    </cacheField>
    <cacheField name="Category" numFmtId="0">
      <sharedItems/>
    </cacheField>
    <cacheField name="Category Type" numFmtId="0">
      <sharedItems/>
    </cacheField>
    <cacheField name="month" numFmtId="0">
      <sharedItems count="11">
        <s v="Jan-2024"/>
        <s v="Feb-2024"/>
        <s v="Mar-2024"/>
        <s v="Apr-2024"/>
        <s v="May-2024"/>
        <s v="Jun-2024"/>
        <s v="Jul-2024"/>
        <s v="Aug-2024"/>
        <s v="Sep-2024"/>
        <s v="Oct-2024"/>
        <s v="Nov-2024"/>
      </sharedItems>
    </cacheField>
  </cacheFields>
  <extLst>
    <ext xmlns:x14="http://schemas.microsoft.com/office/spreadsheetml/2009/9/main" uri="{725AE2AE-9491-48be-B2B4-4EB974FC3084}">
      <x14:pivotCacheDefinition pivotCacheId="104769371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0.714173263892" createdVersion="8" refreshedVersion="8" minRefreshableVersion="3" recordCount="486" xr:uid="{2D96C8D8-E177-4683-AA9F-3401F18E67E8}">
  <cacheSource type="worksheet">
    <worksheetSource ref="A1:I487" sheet="clean_data"/>
  </cacheSource>
  <cacheFields count="9">
    <cacheField name="Date" numFmtId="164">
      <sharedItems containsSemiMixedTypes="0" containsNonDate="0" containsDate="1" containsString="0" minDate="2024-01-09T00:00:00" maxDate="2024-11-05T00:00:00"/>
    </cacheField>
    <cacheField name="Description" numFmtId="0">
      <sharedItems/>
    </cacheField>
    <cacheField name="Debit" numFmtId="0">
      <sharedItems containsSemiMixedTypes="0" containsString="0" containsNumber="1" minValue="0" maxValue="21600"/>
    </cacheField>
    <cacheField name="Credit" numFmtId="0">
      <sharedItems containsSemiMixedTypes="0" containsString="0" containsNumber="1" containsInteger="1" minValue="0" maxValue="120000"/>
    </cacheField>
    <cacheField name="Sub-category" numFmtId="0">
      <sharedItems/>
    </cacheField>
    <cacheField name="Category" numFmtId="0">
      <sharedItems/>
    </cacheField>
    <cacheField name="Category Type" numFmtId="0">
      <sharedItems/>
    </cacheField>
    <cacheField name="month" numFmtId="0">
      <sharedItems/>
    </cacheField>
    <cacheField name="weekday" numFmtId="0">
      <sharedItems containsSemiMixedTypes="0" containsString="0" containsNumber="1" containsInteger="1" minValue="2" maxValue="45" count="44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x v="0"/>
    <x v="0"/>
    <x v="0"/>
    <x v="0"/>
    <x v="0"/>
    <x v="0"/>
  </r>
  <r>
    <x v="0"/>
    <x v="1"/>
    <x v="1"/>
    <x v="1"/>
    <x v="1"/>
    <x v="1"/>
    <x v="1"/>
  </r>
  <r>
    <x v="1"/>
    <x v="2"/>
    <x v="2"/>
    <x v="1"/>
    <x v="2"/>
    <x v="2"/>
    <x v="1"/>
  </r>
  <r>
    <x v="1"/>
    <x v="3"/>
    <x v="3"/>
    <x v="1"/>
    <x v="3"/>
    <x v="3"/>
    <x v="1"/>
  </r>
  <r>
    <x v="1"/>
    <x v="1"/>
    <x v="1"/>
    <x v="1"/>
    <x v="1"/>
    <x v="1"/>
    <x v="1"/>
  </r>
  <r>
    <x v="2"/>
    <x v="1"/>
    <x v="1"/>
    <x v="1"/>
    <x v="1"/>
    <x v="1"/>
    <x v="1"/>
  </r>
  <r>
    <x v="3"/>
    <x v="1"/>
    <x v="1"/>
    <x v="1"/>
    <x v="1"/>
    <x v="1"/>
    <x v="1"/>
  </r>
  <r>
    <x v="4"/>
    <x v="1"/>
    <x v="1"/>
    <x v="1"/>
    <x v="1"/>
    <x v="1"/>
    <x v="1"/>
  </r>
  <r>
    <x v="4"/>
    <x v="4"/>
    <x v="4"/>
    <x v="1"/>
    <x v="4"/>
    <x v="2"/>
    <x v="1"/>
  </r>
  <r>
    <x v="5"/>
    <x v="5"/>
    <x v="5"/>
    <x v="1"/>
    <x v="5"/>
    <x v="2"/>
    <x v="1"/>
  </r>
  <r>
    <x v="5"/>
    <x v="1"/>
    <x v="1"/>
    <x v="1"/>
    <x v="1"/>
    <x v="1"/>
    <x v="1"/>
  </r>
  <r>
    <x v="6"/>
    <x v="1"/>
    <x v="1"/>
    <x v="1"/>
    <x v="1"/>
    <x v="1"/>
    <x v="1"/>
  </r>
  <r>
    <x v="7"/>
    <x v="6"/>
    <x v="6"/>
    <x v="1"/>
    <x v="1"/>
    <x v="1"/>
    <x v="1"/>
  </r>
  <r>
    <x v="7"/>
    <x v="1"/>
    <x v="1"/>
    <x v="1"/>
    <x v="1"/>
    <x v="1"/>
    <x v="1"/>
  </r>
  <r>
    <x v="8"/>
    <x v="1"/>
    <x v="1"/>
    <x v="1"/>
    <x v="1"/>
    <x v="1"/>
    <x v="1"/>
  </r>
  <r>
    <x v="9"/>
    <x v="4"/>
    <x v="7"/>
    <x v="1"/>
    <x v="4"/>
    <x v="2"/>
    <x v="1"/>
  </r>
  <r>
    <x v="9"/>
    <x v="1"/>
    <x v="1"/>
    <x v="1"/>
    <x v="1"/>
    <x v="1"/>
    <x v="1"/>
  </r>
  <r>
    <x v="10"/>
    <x v="1"/>
    <x v="1"/>
    <x v="1"/>
    <x v="1"/>
    <x v="1"/>
    <x v="1"/>
  </r>
  <r>
    <x v="10"/>
    <x v="7"/>
    <x v="8"/>
    <x v="1"/>
    <x v="6"/>
    <x v="4"/>
    <x v="1"/>
  </r>
  <r>
    <x v="10"/>
    <x v="8"/>
    <x v="9"/>
    <x v="1"/>
    <x v="7"/>
    <x v="4"/>
    <x v="1"/>
  </r>
  <r>
    <x v="10"/>
    <x v="9"/>
    <x v="10"/>
    <x v="1"/>
    <x v="8"/>
    <x v="1"/>
    <x v="1"/>
  </r>
  <r>
    <x v="11"/>
    <x v="10"/>
    <x v="11"/>
    <x v="1"/>
    <x v="9"/>
    <x v="3"/>
    <x v="1"/>
  </r>
  <r>
    <x v="12"/>
    <x v="11"/>
    <x v="0"/>
    <x v="2"/>
    <x v="10"/>
    <x v="5"/>
    <x v="0"/>
  </r>
  <r>
    <x v="12"/>
    <x v="1"/>
    <x v="1"/>
    <x v="1"/>
    <x v="1"/>
    <x v="1"/>
    <x v="1"/>
  </r>
  <r>
    <x v="13"/>
    <x v="1"/>
    <x v="1"/>
    <x v="1"/>
    <x v="1"/>
    <x v="1"/>
    <x v="1"/>
  </r>
  <r>
    <x v="13"/>
    <x v="11"/>
    <x v="0"/>
    <x v="2"/>
    <x v="11"/>
    <x v="5"/>
    <x v="0"/>
  </r>
  <r>
    <x v="13"/>
    <x v="12"/>
    <x v="8"/>
    <x v="1"/>
    <x v="12"/>
    <x v="2"/>
    <x v="1"/>
  </r>
  <r>
    <x v="14"/>
    <x v="13"/>
    <x v="12"/>
    <x v="1"/>
    <x v="13"/>
    <x v="4"/>
    <x v="1"/>
  </r>
  <r>
    <x v="14"/>
    <x v="14"/>
    <x v="13"/>
    <x v="1"/>
    <x v="6"/>
    <x v="4"/>
    <x v="1"/>
  </r>
  <r>
    <x v="14"/>
    <x v="1"/>
    <x v="1"/>
    <x v="1"/>
    <x v="1"/>
    <x v="1"/>
    <x v="1"/>
  </r>
  <r>
    <x v="15"/>
    <x v="1"/>
    <x v="1"/>
    <x v="1"/>
    <x v="1"/>
    <x v="1"/>
    <x v="1"/>
  </r>
  <r>
    <x v="16"/>
    <x v="1"/>
    <x v="1"/>
    <x v="1"/>
    <x v="1"/>
    <x v="1"/>
    <x v="1"/>
  </r>
  <r>
    <x v="16"/>
    <x v="4"/>
    <x v="14"/>
    <x v="1"/>
    <x v="4"/>
    <x v="2"/>
    <x v="1"/>
  </r>
  <r>
    <x v="17"/>
    <x v="15"/>
    <x v="15"/>
    <x v="1"/>
    <x v="8"/>
    <x v="1"/>
    <x v="1"/>
  </r>
  <r>
    <x v="18"/>
    <x v="16"/>
    <x v="16"/>
    <x v="1"/>
    <x v="8"/>
    <x v="1"/>
    <x v="1"/>
  </r>
  <r>
    <x v="19"/>
    <x v="17"/>
    <x v="17"/>
    <x v="1"/>
    <x v="14"/>
    <x v="6"/>
    <x v="1"/>
  </r>
  <r>
    <x v="19"/>
    <x v="6"/>
    <x v="18"/>
    <x v="1"/>
    <x v="15"/>
    <x v="3"/>
    <x v="1"/>
  </r>
  <r>
    <x v="19"/>
    <x v="1"/>
    <x v="1"/>
    <x v="1"/>
    <x v="1"/>
    <x v="1"/>
    <x v="1"/>
  </r>
  <r>
    <x v="20"/>
    <x v="1"/>
    <x v="1"/>
    <x v="1"/>
    <x v="1"/>
    <x v="1"/>
    <x v="1"/>
  </r>
  <r>
    <x v="21"/>
    <x v="1"/>
    <x v="1"/>
    <x v="1"/>
    <x v="1"/>
    <x v="1"/>
    <x v="1"/>
  </r>
  <r>
    <x v="22"/>
    <x v="1"/>
    <x v="1"/>
    <x v="1"/>
    <x v="1"/>
    <x v="1"/>
    <x v="1"/>
  </r>
  <r>
    <x v="23"/>
    <x v="1"/>
    <x v="1"/>
    <x v="1"/>
    <x v="1"/>
    <x v="1"/>
    <x v="1"/>
  </r>
  <r>
    <x v="23"/>
    <x v="4"/>
    <x v="19"/>
    <x v="1"/>
    <x v="4"/>
    <x v="2"/>
    <x v="1"/>
  </r>
  <r>
    <x v="24"/>
    <x v="18"/>
    <x v="20"/>
    <x v="1"/>
    <x v="7"/>
    <x v="4"/>
    <x v="1"/>
  </r>
  <r>
    <x v="24"/>
    <x v="19"/>
    <x v="21"/>
    <x v="1"/>
    <x v="6"/>
    <x v="4"/>
    <x v="1"/>
  </r>
  <r>
    <x v="25"/>
    <x v="8"/>
    <x v="22"/>
    <x v="1"/>
    <x v="7"/>
    <x v="4"/>
    <x v="1"/>
  </r>
  <r>
    <x v="25"/>
    <x v="10"/>
    <x v="23"/>
    <x v="1"/>
    <x v="9"/>
    <x v="3"/>
    <x v="1"/>
  </r>
  <r>
    <x v="26"/>
    <x v="0"/>
    <x v="0"/>
    <x v="0"/>
    <x v="16"/>
    <x v="0"/>
    <x v="0"/>
  </r>
  <r>
    <x v="26"/>
    <x v="1"/>
    <x v="1"/>
    <x v="1"/>
    <x v="1"/>
    <x v="1"/>
    <x v="1"/>
  </r>
  <r>
    <x v="27"/>
    <x v="2"/>
    <x v="2"/>
    <x v="1"/>
    <x v="2"/>
    <x v="2"/>
    <x v="1"/>
  </r>
  <r>
    <x v="27"/>
    <x v="3"/>
    <x v="3"/>
    <x v="1"/>
    <x v="3"/>
    <x v="3"/>
    <x v="1"/>
  </r>
  <r>
    <x v="27"/>
    <x v="1"/>
    <x v="1"/>
    <x v="1"/>
    <x v="1"/>
    <x v="1"/>
    <x v="1"/>
  </r>
  <r>
    <x v="28"/>
    <x v="1"/>
    <x v="1"/>
    <x v="1"/>
    <x v="1"/>
    <x v="1"/>
    <x v="1"/>
  </r>
  <r>
    <x v="29"/>
    <x v="1"/>
    <x v="1"/>
    <x v="1"/>
    <x v="1"/>
    <x v="1"/>
    <x v="1"/>
  </r>
  <r>
    <x v="30"/>
    <x v="1"/>
    <x v="1"/>
    <x v="1"/>
    <x v="1"/>
    <x v="1"/>
    <x v="1"/>
  </r>
  <r>
    <x v="30"/>
    <x v="4"/>
    <x v="24"/>
    <x v="1"/>
    <x v="4"/>
    <x v="2"/>
    <x v="1"/>
  </r>
  <r>
    <x v="31"/>
    <x v="5"/>
    <x v="25"/>
    <x v="1"/>
    <x v="5"/>
    <x v="2"/>
    <x v="1"/>
  </r>
  <r>
    <x v="31"/>
    <x v="1"/>
    <x v="1"/>
    <x v="1"/>
    <x v="1"/>
    <x v="1"/>
    <x v="1"/>
  </r>
  <r>
    <x v="32"/>
    <x v="1"/>
    <x v="1"/>
    <x v="1"/>
    <x v="1"/>
    <x v="1"/>
    <x v="1"/>
  </r>
  <r>
    <x v="33"/>
    <x v="6"/>
    <x v="26"/>
    <x v="1"/>
    <x v="15"/>
    <x v="3"/>
    <x v="1"/>
  </r>
  <r>
    <x v="33"/>
    <x v="1"/>
    <x v="1"/>
    <x v="1"/>
    <x v="1"/>
    <x v="1"/>
    <x v="1"/>
  </r>
  <r>
    <x v="34"/>
    <x v="1"/>
    <x v="1"/>
    <x v="1"/>
    <x v="1"/>
    <x v="1"/>
    <x v="1"/>
  </r>
  <r>
    <x v="35"/>
    <x v="4"/>
    <x v="27"/>
    <x v="1"/>
    <x v="4"/>
    <x v="2"/>
    <x v="1"/>
  </r>
  <r>
    <x v="35"/>
    <x v="1"/>
    <x v="1"/>
    <x v="1"/>
    <x v="1"/>
    <x v="1"/>
    <x v="1"/>
  </r>
  <r>
    <x v="36"/>
    <x v="1"/>
    <x v="1"/>
    <x v="1"/>
    <x v="1"/>
    <x v="1"/>
    <x v="1"/>
  </r>
  <r>
    <x v="36"/>
    <x v="7"/>
    <x v="28"/>
    <x v="1"/>
    <x v="6"/>
    <x v="4"/>
    <x v="1"/>
  </r>
  <r>
    <x v="36"/>
    <x v="20"/>
    <x v="29"/>
    <x v="1"/>
    <x v="7"/>
    <x v="4"/>
    <x v="1"/>
  </r>
  <r>
    <x v="36"/>
    <x v="9"/>
    <x v="30"/>
    <x v="1"/>
    <x v="8"/>
    <x v="1"/>
    <x v="1"/>
  </r>
  <r>
    <x v="37"/>
    <x v="10"/>
    <x v="31"/>
    <x v="1"/>
    <x v="9"/>
    <x v="3"/>
    <x v="1"/>
  </r>
  <r>
    <x v="38"/>
    <x v="11"/>
    <x v="0"/>
    <x v="3"/>
    <x v="10"/>
    <x v="5"/>
    <x v="0"/>
  </r>
  <r>
    <x v="38"/>
    <x v="1"/>
    <x v="1"/>
    <x v="1"/>
    <x v="1"/>
    <x v="1"/>
    <x v="1"/>
  </r>
  <r>
    <x v="39"/>
    <x v="1"/>
    <x v="1"/>
    <x v="1"/>
    <x v="1"/>
    <x v="1"/>
    <x v="1"/>
  </r>
  <r>
    <x v="39"/>
    <x v="12"/>
    <x v="8"/>
    <x v="1"/>
    <x v="12"/>
    <x v="2"/>
    <x v="1"/>
  </r>
  <r>
    <x v="40"/>
    <x v="13"/>
    <x v="32"/>
    <x v="1"/>
    <x v="13"/>
    <x v="4"/>
    <x v="1"/>
  </r>
  <r>
    <x v="40"/>
    <x v="14"/>
    <x v="33"/>
    <x v="1"/>
    <x v="6"/>
    <x v="4"/>
    <x v="1"/>
  </r>
  <r>
    <x v="40"/>
    <x v="1"/>
    <x v="1"/>
    <x v="1"/>
    <x v="1"/>
    <x v="1"/>
    <x v="1"/>
  </r>
  <r>
    <x v="41"/>
    <x v="1"/>
    <x v="1"/>
    <x v="1"/>
    <x v="1"/>
    <x v="1"/>
    <x v="1"/>
  </r>
  <r>
    <x v="42"/>
    <x v="1"/>
    <x v="1"/>
    <x v="1"/>
    <x v="1"/>
    <x v="1"/>
    <x v="1"/>
  </r>
  <r>
    <x v="42"/>
    <x v="4"/>
    <x v="34"/>
    <x v="1"/>
    <x v="4"/>
    <x v="2"/>
    <x v="1"/>
  </r>
  <r>
    <x v="43"/>
    <x v="15"/>
    <x v="35"/>
    <x v="1"/>
    <x v="8"/>
    <x v="1"/>
    <x v="1"/>
  </r>
  <r>
    <x v="44"/>
    <x v="16"/>
    <x v="36"/>
    <x v="1"/>
    <x v="8"/>
    <x v="1"/>
    <x v="1"/>
  </r>
  <r>
    <x v="45"/>
    <x v="17"/>
    <x v="17"/>
    <x v="1"/>
    <x v="14"/>
    <x v="6"/>
    <x v="1"/>
  </r>
  <r>
    <x v="45"/>
    <x v="6"/>
    <x v="37"/>
    <x v="1"/>
    <x v="15"/>
    <x v="3"/>
    <x v="1"/>
  </r>
  <r>
    <x v="45"/>
    <x v="1"/>
    <x v="1"/>
    <x v="1"/>
    <x v="1"/>
    <x v="1"/>
    <x v="1"/>
  </r>
  <r>
    <x v="46"/>
    <x v="1"/>
    <x v="1"/>
    <x v="1"/>
    <x v="1"/>
    <x v="1"/>
    <x v="1"/>
  </r>
  <r>
    <x v="47"/>
    <x v="1"/>
    <x v="1"/>
    <x v="1"/>
    <x v="1"/>
    <x v="1"/>
    <x v="1"/>
  </r>
  <r>
    <x v="48"/>
    <x v="1"/>
    <x v="1"/>
    <x v="1"/>
    <x v="1"/>
    <x v="1"/>
    <x v="1"/>
  </r>
  <r>
    <x v="49"/>
    <x v="1"/>
    <x v="1"/>
    <x v="1"/>
    <x v="1"/>
    <x v="1"/>
    <x v="1"/>
  </r>
  <r>
    <x v="49"/>
    <x v="4"/>
    <x v="38"/>
    <x v="1"/>
    <x v="4"/>
    <x v="2"/>
    <x v="1"/>
  </r>
  <r>
    <x v="50"/>
    <x v="18"/>
    <x v="39"/>
    <x v="1"/>
    <x v="7"/>
    <x v="4"/>
    <x v="1"/>
  </r>
  <r>
    <x v="50"/>
    <x v="21"/>
    <x v="40"/>
    <x v="1"/>
    <x v="7"/>
    <x v="4"/>
    <x v="1"/>
  </r>
  <r>
    <x v="51"/>
    <x v="8"/>
    <x v="41"/>
    <x v="1"/>
    <x v="7"/>
    <x v="4"/>
    <x v="1"/>
  </r>
  <r>
    <x v="51"/>
    <x v="10"/>
    <x v="42"/>
    <x v="1"/>
    <x v="9"/>
    <x v="3"/>
    <x v="1"/>
  </r>
  <r>
    <x v="52"/>
    <x v="0"/>
    <x v="0"/>
    <x v="0"/>
    <x v="16"/>
    <x v="0"/>
    <x v="0"/>
  </r>
  <r>
    <x v="52"/>
    <x v="1"/>
    <x v="1"/>
    <x v="1"/>
    <x v="1"/>
    <x v="1"/>
    <x v="1"/>
  </r>
  <r>
    <x v="53"/>
    <x v="2"/>
    <x v="2"/>
    <x v="1"/>
    <x v="2"/>
    <x v="2"/>
    <x v="1"/>
  </r>
  <r>
    <x v="53"/>
    <x v="3"/>
    <x v="3"/>
    <x v="1"/>
    <x v="3"/>
    <x v="3"/>
    <x v="1"/>
  </r>
  <r>
    <x v="53"/>
    <x v="1"/>
    <x v="1"/>
    <x v="1"/>
    <x v="1"/>
    <x v="1"/>
    <x v="1"/>
  </r>
  <r>
    <x v="54"/>
    <x v="1"/>
    <x v="1"/>
    <x v="1"/>
    <x v="1"/>
    <x v="1"/>
    <x v="1"/>
  </r>
  <r>
    <x v="55"/>
    <x v="1"/>
    <x v="1"/>
    <x v="1"/>
    <x v="1"/>
    <x v="1"/>
    <x v="1"/>
  </r>
  <r>
    <x v="56"/>
    <x v="1"/>
    <x v="1"/>
    <x v="1"/>
    <x v="1"/>
    <x v="1"/>
    <x v="1"/>
  </r>
  <r>
    <x v="56"/>
    <x v="4"/>
    <x v="43"/>
    <x v="1"/>
    <x v="4"/>
    <x v="2"/>
    <x v="1"/>
  </r>
  <r>
    <x v="57"/>
    <x v="5"/>
    <x v="44"/>
    <x v="1"/>
    <x v="5"/>
    <x v="2"/>
    <x v="1"/>
  </r>
  <r>
    <x v="57"/>
    <x v="1"/>
    <x v="1"/>
    <x v="1"/>
    <x v="1"/>
    <x v="1"/>
    <x v="1"/>
  </r>
  <r>
    <x v="58"/>
    <x v="1"/>
    <x v="1"/>
    <x v="1"/>
    <x v="1"/>
    <x v="1"/>
    <x v="1"/>
  </r>
  <r>
    <x v="59"/>
    <x v="6"/>
    <x v="45"/>
    <x v="1"/>
    <x v="15"/>
    <x v="3"/>
    <x v="1"/>
  </r>
  <r>
    <x v="59"/>
    <x v="1"/>
    <x v="1"/>
    <x v="1"/>
    <x v="1"/>
    <x v="1"/>
    <x v="1"/>
  </r>
  <r>
    <x v="60"/>
    <x v="1"/>
    <x v="1"/>
    <x v="1"/>
    <x v="1"/>
    <x v="1"/>
    <x v="1"/>
  </r>
  <r>
    <x v="61"/>
    <x v="4"/>
    <x v="40"/>
    <x v="1"/>
    <x v="4"/>
    <x v="2"/>
    <x v="1"/>
  </r>
  <r>
    <x v="61"/>
    <x v="1"/>
    <x v="1"/>
    <x v="1"/>
    <x v="1"/>
    <x v="1"/>
    <x v="1"/>
  </r>
  <r>
    <x v="62"/>
    <x v="1"/>
    <x v="1"/>
    <x v="1"/>
    <x v="1"/>
    <x v="1"/>
    <x v="1"/>
  </r>
  <r>
    <x v="62"/>
    <x v="7"/>
    <x v="46"/>
    <x v="1"/>
    <x v="6"/>
    <x v="4"/>
    <x v="1"/>
  </r>
  <r>
    <x v="62"/>
    <x v="20"/>
    <x v="47"/>
    <x v="1"/>
    <x v="7"/>
    <x v="4"/>
    <x v="1"/>
  </r>
  <r>
    <x v="62"/>
    <x v="9"/>
    <x v="48"/>
    <x v="1"/>
    <x v="8"/>
    <x v="1"/>
    <x v="1"/>
  </r>
  <r>
    <x v="63"/>
    <x v="10"/>
    <x v="49"/>
    <x v="1"/>
    <x v="9"/>
    <x v="3"/>
    <x v="1"/>
  </r>
  <r>
    <x v="64"/>
    <x v="11"/>
    <x v="0"/>
    <x v="4"/>
    <x v="10"/>
    <x v="5"/>
    <x v="0"/>
  </r>
  <r>
    <x v="64"/>
    <x v="1"/>
    <x v="1"/>
    <x v="1"/>
    <x v="1"/>
    <x v="1"/>
    <x v="1"/>
  </r>
  <r>
    <x v="65"/>
    <x v="1"/>
    <x v="1"/>
    <x v="1"/>
    <x v="1"/>
    <x v="1"/>
    <x v="1"/>
  </r>
  <r>
    <x v="65"/>
    <x v="22"/>
    <x v="50"/>
    <x v="1"/>
    <x v="17"/>
    <x v="7"/>
    <x v="1"/>
  </r>
  <r>
    <x v="65"/>
    <x v="12"/>
    <x v="8"/>
    <x v="1"/>
    <x v="12"/>
    <x v="2"/>
    <x v="1"/>
  </r>
  <r>
    <x v="66"/>
    <x v="13"/>
    <x v="51"/>
    <x v="1"/>
    <x v="13"/>
    <x v="4"/>
    <x v="1"/>
  </r>
  <r>
    <x v="66"/>
    <x v="14"/>
    <x v="33"/>
    <x v="1"/>
    <x v="6"/>
    <x v="4"/>
    <x v="1"/>
  </r>
  <r>
    <x v="66"/>
    <x v="1"/>
    <x v="1"/>
    <x v="1"/>
    <x v="1"/>
    <x v="1"/>
    <x v="1"/>
  </r>
  <r>
    <x v="67"/>
    <x v="1"/>
    <x v="1"/>
    <x v="1"/>
    <x v="1"/>
    <x v="1"/>
    <x v="1"/>
  </r>
  <r>
    <x v="68"/>
    <x v="1"/>
    <x v="1"/>
    <x v="1"/>
    <x v="1"/>
    <x v="1"/>
    <x v="1"/>
  </r>
  <r>
    <x v="68"/>
    <x v="4"/>
    <x v="52"/>
    <x v="1"/>
    <x v="4"/>
    <x v="2"/>
    <x v="1"/>
  </r>
  <r>
    <x v="69"/>
    <x v="15"/>
    <x v="53"/>
    <x v="1"/>
    <x v="8"/>
    <x v="1"/>
    <x v="1"/>
  </r>
  <r>
    <x v="70"/>
    <x v="16"/>
    <x v="54"/>
    <x v="1"/>
    <x v="8"/>
    <x v="1"/>
    <x v="1"/>
  </r>
  <r>
    <x v="71"/>
    <x v="17"/>
    <x v="17"/>
    <x v="1"/>
    <x v="14"/>
    <x v="6"/>
    <x v="1"/>
  </r>
  <r>
    <x v="71"/>
    <x v="6"/>
    <x v="55"/>
    <x v="1"/>
    <x v="15"/>
    <x v="3"/>
    <x v="1"/>
  </r>
  <r>
    <x v="71"/>
    <x v="1"/>
    <x v="1"/>
    <x v="1"/>
    <x v="1"/>
    <x v="1"/>
    <x v="1"/>
  </r>
  <r>
    <x v="72"/>
    <x v="1"/>
    <x v="1"/>
    <x v="1"/>
    <x v="1"/>
    <x v="1"/>
    <x v="1"/>
  </r>
  <r>
    <x v="73"/>
    <x v="1"/>
    <x v="1"/>
    <x v="1"/>
    <x v="1"/>
    <x v="1"/>
    <x v="1"/>
  </r>
  <r>
    <x v="74"/>
    <x v="1"/>
    <x v="1"/>
    <x v="1"/>
    <x v="1"/>
    <x v="1"/>
    <x v="1"/>
  </r>
  <r>
    <x v="75"/>
    <x v="1"/>
    <x v="1"/>
    <x v="1"/>
    <x v="1"/>
    <x v="1"/>
    <x v="1"/>
  </r>
  <r>
    <x v="75"/>
    <x v="4"/>
    <x v="56"/>
    <x v="1"/>
    <x v="4"/>
    <x v="2"/>
    <x v="1"/>
  </r>
  <r>
    <x v="76"/>
    <x v="18"/>
    <x v="57"/>
    <x v="1"/>
    <x v="7"/>
    <x v="4"/>
    <x v="1"/>
  </r>
  <r>
    <x v="76"/>
    <x v="23"/>
    <x v="58"/>
    <x v="1"/>
    <x v="7"/>
    <x v="4"/>
    <x v="1"/>
  </r>
  <r>
    <x v="77"/>
    <x v="8"/>
    <x v="59"/>
    <x v="1"/>
    <x v="7"/>
    <x v="4"/>
    <x v="1"/>
  </r>
  <r>
    <x v="77"/>
    <x v="10"/>
    <x v="60"/>
    <x v="1"/>
    <x v="9"/>
    <x v="3"/>
    <x v="1"/>
  </r>
  <r>
    <x v="78"/>
    <x v="24"/>
    <x v="61"/>
    <x v="1"/>
    <x v="8"/>
    <x v="1"/>
    <x v="1"/>
  </r>
  <r>
    <x v="79"/>
    <x v="1"/>
    <x v="1"/>
    <x v="1"/>
    <x v="1"/>
    <x v="1"/>
    <x v="1"/>
  </r>
  <r>
    <x v="80"/>
    <x v="1"/>
    <x v="1"/>
    <x v="1"/>
    <x v="1"/>
    <x v="1"/>
    <x v="1"/>
  </r>
  <r>
    <x v="81"/>
    <x v="0"/>
    <x v="0"/>
    <x v="0"/>
    <x v="16"/>
    <x v="0"/>
    <x v="0"/>
  </r>
  <r>
    <x v="81"/>
    <x v="1"/>
    <x v="1"/>
    <x v="1"/>
    <x v="1"/>
    <x v="1"/>
    <x v="1"/>
  </r>
  <r>
    <x v="82"/>
    <x v="2"/>
    <x v="2"/>
    <x v="1"/>
    <x v="2"/>
    <x v="2"/>
    <x v="1"/>
  </r>
  <r>
    <x v="82"/>
    <x v="3"/>
    <x v="3"/>
    <x v="1"/>
    <x v="3"/>
    <x v="3"/>
    <x v="1"/>
  </r>
  <r>
    <x v="82"/>
    <x v="1"/>
    <x v="1"/>
    <x v="1"/>
    <x v="1"/>
    <x v="1"/>
    <x v="1"/>
  </r>
  <r>
    <x v="83"/>
    <x v="1"/>
    <x v="1"/>
    <x v="1"/>
    <x v="1"/>
    <x v="1"/>
    <x v="1"/>
  </r>
  <r>
    <x v="84"/>
    <x v="1"/>
    <x v="1"/>
    <x v="1"/>
    <x v="1"/>
    <x v="1"/>
    <x v="1"/>
  </r>
  <r>
    <x v="85"/>
    <x v="1"/>
    <x v="1"/>
    <x v="1"/>
    <x v="1"/>
    <x v="1"/>
    <x v="1"/>
  </r>
  <r>
    <x v="85"/>
    <x v="4"/>
    <x v="62"/>
    <x v="1"/>
    <x v="4"/>
    <x v="2"/>
    <x v="1"/>
  </r>
  <r>
    <x v="86"/>
    <x v="5"/>
    <x v="63"/>
    <x v="1"/>
    <x v="5"/>
    <x v="2"/>
    <x v="1"/>
  </r>
  <r>
    <x v="86"/>
    <x v="1"/>
    <x v="1"/>
    <x v="1"/>
    <x v="1"/>
    <x v="1"/>
    <x v="1"/>
  </r>
  <r>
    <x v="87"/>
    <x v="1"/>
    <x v="1"/>
    <x v="1"/>
    <x v="1"/>
    <x v="1"/>
    <x v="1"/>
  </r>
  <r>
    <x v="88"/>
    <x v="6"/>
    <x v="64"/>
    <x v="1"/>
    <x v="15"/>
    <x v="3"/>
    <x v="1"/>
  </r>
  <r>
    <x v="88"/>
    <x v="1"/>
    <x v="1"/>
    <x v="1"/>
    <x v="1"/>
    <x v="1"/>
    <x v="1"/>
  </r>
  <r>
    <x v="89"/>
    <x v="1"/>
    <x v="1"/>
    <x v="1"/>
    <x v="1"/>
    <x v="1"/>
    <x v="1"/>
  </r>
  <r>
    <x v="90"/>
    <x v="4"/>
    <x v="9"/>
    <x v="1"/>
    <x v="4"/>
    <x v="2"/>
    <x v="1"/>
  </r>
  <r>
    <x v="90"/>
    <x v="1"/>
    <x v="1"/>
    <x v="1"/>
    <x v="1"/>
    <x v="1"/>
    <x v="1"/>
  </r>
  <r>
    <x v="91"/>
    <x v="1"/>
    <x v="1"/>
    <x v="1"/>
    <x v="1"/>
    <x v="1"/>
    <x v="1"/>
  </r>
  <r>
    <x v="91"/>
    <x v="7"/>
    <x v="65"/>
    <x v="1"/>
    <x v="6"/>
    <x v="4"/>
    <x v="1"/>
  </r>
  <r>
    <x v="91"/>
    <x v="20"/>
    <x v="66"/>
    <x v="1"/>
    <x v="7"/>
    <x v="4"/>
    <x v="1"/>
  </r>
  <r>
    <x v="91"/>
    <x v="9"/>
    <x v="67"/>
    <x v="1"/>
    <x v="8"/>
    <x v="1"/>
    <x v="1"/>
  </r>
  <r>
    <x v="92"/>
    <x v="10"/>
    <x v="68"/>
    <x v="1"/>
    <x v="9"/>
    <x v="3"/>
    <x v="1"/>
  </r>
  <r>
    <x v="93"/>
    <x v="11"/>
    <x v="0"/>
    <x v="5"/>
    <x v="10"/>
    <x v="5"/>
    <x v="0"/>
  </r>
  <r>
    <x v="93"/>
    <x v="1"/>
    <x v="1"/>
    <x v="1"/>
    <x v="1"/>
    <x v="1"/>
    <x v="1"/>
  </r>
  <r>
    <x v="94"/>
    <x v="1"/>
    <x v="1"/>
    <x v="1"/>
    <x v="1"/>
    <x v="1"/>
    <x v="1"/>
  </r>
  <r>
    <x v="94"/>
    <x v="12"/>
    <x v="8"/>
    <x v="1"/>
    <x v="12"/>
    <x v="2"/>
    <x v="1"/>
  </r>
  <r>
    <x v="95"/>
    <x v="13"/>
    <x v="69"/>
    <x v="1"/>
    <x v="13"/>
    <x v="4"/>
    <x v="1"/>
  </r>
  <r>
    <x v="95"/>
    <x v="14"/>
    <x v="33"/>
    <x v="1"/>
    <x v="6"/>
    <x v="4"/>
    <x v="1"/>
  </r>
  <r>
    <x v="95"/>
    <x v="1"/>
    <x v="1"/>
    <x v="1"/>
    <x v="1"/>
    <x v="1"/>
    <x v="1"/>
  </r>
  <r>
    <x v="96"/>
    <x v="1"/>
    <x v="1"/>
    <x v="1"/>
    <x v="1"/>
    <x v="1"/>
    <x v="1"/>
  </r>
  <r>
    <x v="97"/>
    <x v="1"/>
    <x v="1"/>
    <x v="1"/>
    <x v="1"/>
    <x v="1"/>
    <x v="1"/>
  </r>
  <r>
    <x v="97"/>
    <x v="4"/>
    <x v="70"/>
    <x v="1"/>
    <x v="4"/>
    <x v="2"/>
    <x v="1"/>
  </r>
  <r>
    <x v="98"/>
    <x v="15"/>
    <x v="71"/>
    <x v="1"/>
    <x v="8"/>
    <x v="1"/>
    <x v="1"/>
  </r>
  <r>
    <x v="99"/>
    <x v="16"/>
    <x v="72"/>
    <x v="1"/>
    <x v="8"/>
    <x v="1"/>
    <x v="1"/>
  </r>
  <r>
    <x v="100"/>
    <x v="17"/>
    <x v="17"/>
    <x v="1"/>
    <x v="14"/>
    <x v="6"/>
    <x v="1"/>
  </r>
  <r>
    <x v="100"/>
    <x v="6"/>
    <x v="73"/>
    <x v="1"/>
    <x v="15"/>
    <x v="3"/>
    <x v="1"/>
  </r>
  <r>
    <x v="100"/>
    <x v="1"/>
    <x v="1"/>
    <x v="1"/>
    <x v="1"/>
    <x v="1"/>
    <x v="1"/>
  </r>
  <r>
    <x v="101"/>
    <x v="1"/>
    <x v="1"/>
    <x v="1"/>
    <x v="1"/>
    <x v="1"/>
    <x v="1"/>
  </r>
  <r>
    <x v="102"/>
    <x v="1"/>
    <x v="1"/>
    <x v="1"/>
    <x v="1"/>
    <x v="1"/>
    <x v="1"/>
  </r>
  <r>
    <x v="103"/>
    <x v="1"/>
    <x v="1"/>
    <x v="1"/>
    <x v="1"/>
    <x v="1"/>
    <x v="1"/>
  </r>
  <r>
    <x v="104"/>
    <x v="1"/>
    <x v="1"/>
    <x v="1"/>
    <x v="1"/>
    <x v="1"/>
    <x v="1"/>
  </r>
  <r>
    <x v="104"/>
    <x v="4"/>
    <x v="74"/>
    <x v="1"/>
    <x v="4"/>
    <x v="2"/>
    <x v="1"/>
  </r>
  <r>
    <x v="105"/>
    <x v="18"/>
    <x v="75"/>
    <x v="1"/>
    <x v="7"/>
    <x v="4"/>
    <x v="1"/>
  </r>
  <r>
    <x v="105"/>
    <x v="25"/>
    <x v="76"/>
    <x v="1"/>
    <x v="6"/>
    <x v="4"/>
    <x v="1"/>
  </r>
  <r>
    <x v="106"/>
    <x v="8"/>
    <x v="77"/>
    <x v="1"/>
    <x v="7"/>
    <x v="4"/>
    <x v="1"/>
  </r>
  <r>
    <x v="106"/>
    <x v="10"/>
    <x v="78"/>
    <x v="1"/>
    <x v="9"/>
    <x v="3"/>
    <x v="1"/>
  </r>
  <r>
    <x v="107"/>
    <x v="24"/>
    <x v="61"/>
    <x v="1"/>
    <x v="8"/>
    <x v="1"/>
    <x v="1"/>
  </r>
  <r>
    <x v="107"/>
    <x v="1"/>
    <x v="1"/>
    <x v="1"/>
    <x v="1"/>
    <x v="1"/>
    <x v="1"/>
  </r>
  <r>
    <x v="108"/>
    <x v="1"/>
    <x v="1"/>
    <x v="1"/>
    <x v="1"/>
    <x v="1"/>
    <x v="1"/>
  </r>
  <r>
    <x v="109"/>
    <x v="1"/>
    <x v="1"/>
    <x v="1"/>
    <x v="1"/>
    <x v="1"/>
    <x v="1"/>
  </r>
  <r>
    <x v="110"/>
    <x v="0"/>
    <x v="0"/>
    <x v="0"/>
    <x v="16"/>
    <x v="0"/>
    <x v="0"/>
  </r>
  <r>
    <x v="110"/>
    <x v="2"/>
    <x v="2"/>
    <x v="1"/>
    <x v="2"/>
    <x v="2"/>
    <x v="1"/>
  </r>
  <r>
    <x v="110"/>
    <x v="3"/>
    <x v="3"/>
    <x v="1"/>
    <x v="3"/>
    <x v="3"/>
    <x v="1"/>
  </r>
  <r>
    <x v="110"/>
    <x v="1"/>
    <x v="1"/>
    <x v="1"/>
    <x v="1"/>
    <x v="1"/>
    <x v="1"/>
  </r>
  <r>
    <x v="111"/>
    <x v="1"/>
    <x v="1"/>
    <x v="1"/>
    <x v="1"/>
    <x v="1"/>
    <x v="1"/>
  </r>
  <r>
    <x v="112"/>
    <x v="1"/>
    <x v="1"/>
    <x v="1"/>
    <x v="1"/>
    <x v="1"/>
    <x v="1"/>
  </r>
  <r>
    <x v="113"/>
    <x v="1"/>
    <x v="1"/>
    <x v="1"/>
    <x v="1"/>
    <x v="1"/>
    <x v="1"/>
  </r>
  <r>
    <x v="113"/>
    <x v="4"/>
    <x v="14"/>
    <x v="1"/>
    <x v="4"/>
    <x v="2"/>
    <x v="1"/>
  </r>
  <r>
    <x v="114"/>
    <x v="5"/>
    <x v="79"/>
    <x v="1"/>
    <x v="5"/>
    <x v="2"/>
    <x v="1"/>
  </r>
  <r>
    <x v="114"/>
    <x v="1"/>
    <x v="1"/>
    <x v="1"/>
    <x v="1"/>
    <x v="1"/>
    <x v="1"/>
  </r>
  <r>
    <x v="115"/>
    <x v="1"/>
    <x v="1"/>
    <x v="1"/>
    <x v="1"/>
    <x v="1"/>
    <x v="1"/>
  </r>
  <r>
    <x v="116"/>
    <x v="6"/>
    <x v="80"/>
    <x v="1"/>
    <x v="15"/>
    <x v="3"/>
    <x v="1"/>
  </r>
  <r>
    <x v="116"/>
    <x v="1"/>
    <x v="1"/>
    <x v="1"/>
    <x v="1"/>
    <x v="1"/>
    <x v="1"/>
  </r>
  <r>
    <x v="117"/>
    <x v="1"/>
    <x v="1"/>
    <x v="1"/>
    <x v="1"/>
    <x v="1"/>
    <x v="1"/>
  </r>
  <r>
    <x v="118"/>
    <x v="4"/>
    <x v="81"/>
    <x v="1"/>
    <x v="4"/>
    <x v="2"/>
    <x v="1"/>
  </r>
  <r>
    <x v="118"/>
    <x v="1"/>
    <x v="1"/>
    <x v="1"/>
    <x v="1"/>
    <x v="1"/>
    <x v="1"/>
  </r>
  <r>
    <x v="119"/>
    <x v="1"/>
    <x v="1"/>
    <x v="1"/>
    <x v="1"/>
    <x v="1"/>
    <x v="1"/>
  </r>
  <r>
    <x v="119"/>
    <x v="7"/>
    <x v="82"/>
    <x v="1"/>
    <x v="6"/>
    <x v="4"/>
    <x v="1"/>
  </r>
  <r>
    <x v="119"/>
    <x v="20"/>
    <x v="83"/>
    <x v="1"/>
    <x v="7"/>
    <x v="4"/>
    <x v="1"/>
  </r>
  <r>
    <x v="119"/>
    <x v="9"/>
    <x v="84"/>
    <x v="1"/>
    <x v="8"/>
    <x v="1"/>
    <x v="1"/>
  </r>
  <r>
    <x v="120"/>
    <x v="10"/>
    <x v="13"/>
    <x v="1"/>
    <x v="9"/>
    <x v="3"/>
    <x v="1"/>
  </r>
  <r>
    <x v="121"/>
    <x v="11"/>
    <x v="0"/>
    <x v="4"/>
    <x v="10"/>
    <x v="5"/>
    <x v="0"/>
  </r>
  <r>
    <x v="121"/>
    <x v="1"/>
    <x v="1"/>
    <x v="1"/>
    <x v="1"/>
    <x v="1"/>
    <x v="1"/>
  </r>
  <r>
    <x v="122"/>
    <x v="1"/>
    <x v="1"/>
    <x v="1"/>
    <x v="1"/>
    <x v="1"/>
    <x v="1"/>
  </r>
  <r>
    <x v="122"/>
    <x v="22"/>
    <x v="50"/>
    <x v="1"/>
    <x v="17"/>
    <x v="7"/>
    <x v="1"/>
  </r>
  <r>
    <x v="122"/>
    <x v="12"/>
    <x v="8"/>
    <x v="1"/>
    <x v="12"/>
    <x v="2"/>
    <x v="1"/>
  </r>
  <r>
    <x v="123"/>
    <x v="13"/>
    <x v="85"/>
    <x v="1"/>
    <x v="13"/>
    <x v="4"/>
    <x v="1"/>
  </r>
  <r>
    <x v="123"/>
    <x v="14"/>
    <x v="33"/>
    <x v="1"/>
    <x v="6"/>
    <x v="4"/>
    <x v="1"/>
  </r>
  <r>
    <x v="123"/>
    <x v="1"/>
    <x v="1"/>
    <x v="1"/>
    <x v="1"/>
    <x v="1"/>
    <x v="1"/>
  </r>
  <r>
    <x v="124"/>
    <x v="1"/>
    <x v="1"/>
    <x v="1"/>
    <x v="1"/>
    <x v="1"/>
    <x v="1"/>
  </r>
  <r>
    <x v="125"/>
    <x v="1"/>
    <x v="1"/>
    <x v="1"/>
    <x v="1"/>
    <x v="1"/>
    <x v="1"/>
  </r>
  <r>
    <x v="125"/>
    <x v="4"/>
    <x v="86"/>
    <x v="1"/>
    <x v="4"/>
    <x v="2"/>
    <x v="1"/>
  </r>
  <r>
    <x v="126"/>
    <x v="15"/>
    <x v="87"/>
    <x v="1"/>
    <x v="8"/>
    <x v="1"/>
    <x v="1"/>
  </r>
  <r>
    <x v="127"/>
    <x v="16"/>
    <x v="88"/>
    <x v="1"/>
    <x v="8"/>
    <x v="1"/>
    <x v="1"/>
  </r>
  <r>
    <x v="128"/>
    <x v="17"/>
    <x v="17"/>
    <x v="1"/>
    <x v="14"/>
    <x v="6"/>
    <x v="1"/>
  </r>
  <r>
    <x v="128"/>
    <x v="6"/>
    <x v="89"/>
    <x v="1"/>
    <x v="15"/>
    <x v="3"/>
    <x v="1"/>
  </r>
  <r>
    <x v="128"/>
    <x v="1"/>
    <x v="1"/>
    <x v="1"/>
    <x v="1"/>
    <x v="1"/>
    <x v="1"/>
  </r>
  <r>
    <x v="129"/>
    <x v="1"/>
    <x v="1"/>
    <x v="1"/>
    <x v="1"/>
    <x v="1"/>
    <x v="1"/>
  </r>
  <r>
    <x v="130"/>
    <x v="1"/>
    <x v="1"/>
    <x v="1"/>
    <x v="1"/>
    <x v="1"/>
    <x v="1"/>
  </r>
  <r>
    <x v="131"/>
    <x v="1"/>
    <x v="1"/>
    <x v="1"/>
    <x v="1"/>
    <x v="1"/>
    <x v="1"/>
  </r>
  <r>
    <x v="132"/>
    <x v="1"/>
    <x v="1"/>
    <x v="1"/>
    <x v="1"/>
    <x v="1"/>
    <x v="1"/>
  </r>
  <r>
    <x v="132"/>
    <x v="4"/>
    <x v="90"/>
    <x v="1"/>
    <x v="4"/>
    <x v="2"/>
    <x v="1"/>
  </r>
  <r>
    <x v="133"/>
    <x v="18"/>
    <x v="91"/>
    <x v="1"/>
    <x v="7"/>
    <x v="4"/>
    <x v="1"/>
  </r>
  <r>
    <x v="133"/>
    <x v="26"/>
    <x v="92"/>
    <x v="1"/>
    <x v="18"/>
    <x v="4"/>
    <x v="1"/>
  </r>
  <r>
    <x v="134"/>
    <x v="8"/>
    <x v="93"/>
    <x v="1"/>
    <x v="7"/>
    <x v="4"/>
    <x v="1"/>
  </r>
  <r>
    <x v="134"/>
    <x v="10"/>
    <x v="94"/>
    <x v="1"/>
    <x v="9"/>
    <x v="3"/>
    <x v="1"/>
  </r>
  <r>
    <x v="135"/>
    <x v="24"/>
    <x v="61"/>
    <x v="1"/>
    <x v="8"/>
    <x v="1"/>
    <x v="1"/>
  </r>
  <r>
    <x v="136"/>
    <x v="1"/>
    <x v="1"/>
    <x v="1"/>
    <x v="1"/>
    <x v="1"/>
    <x v="1"/>
  </r>
  <r>
    <x v="135"/>
    <x v="1"/>
    <x v="1"/>
    <x v="1"/>
    <x v="1"/>
    <x v="1"/>
    <x v="1"/>
  </r>
  <r>
    <x v="137"/>
    <x v="0"/>
    <x v="0"/>
    <x v="0"/>
    <x v="16"/>
    <x v="0"/>
    <x v="0"/>
  </r>
  <r>
    <x v="138"/>
    <x v="1"/>
    <x v="1"/>
    <x v="1"/>
    <x v="1"/>
    <x v="1"/>
    <x v="1"/>
  </r>
  <r>
    <x v="138"/>
    <x v="2"/>
    <x v="2"/>
    <x v="1"/>
    <x v="2"/>
    <x v="2"/>
    <x v="1"/>
  </r>
  <r>
    <x v="138"/>
    <x v="3"/>
    <x v="3"/>
    <x v="1"/>
    <x v="3"/>
    <x v="3"/>
    <x v="1"/>
  </r>
  <r>
    <x v="138"/>
    <x v="1"/>
    <x v="1"/>
    <x v="1"/>
    <x v="1"/>
    <x v="1"/>
    <x v="1"/>
  </r>
  <r>
    <x v="139"/>
    <x v="1"/>
    <x v="1"/>
    <x v="1"/>
    <x v="1"/>
    <x v="1"/>
    <x v="1"/>
  </r>
  <r>
    <x v="140"/>
    <x v="1"/>
    <x v="1"/>
    <x v="1"/>
    <x v="1"/>
    <x v="1"/>
    <x v="1"/>
  </r>
  <r>
    <x v="141"/>
    <x v="1"/>
    <x v="1"/>
    <x v="1"/>
    <x v="1"/>
    <x v="1"/>
    <x v="1"/>
  </r>
  <r>
    <x v="141"/>
    <x v="4"/>
    <x v="95"/>
    <x v="1"/>
    <x v="4"/>
    <x v="2"/>
    <x v="1"/>
  </r>
  <r>
    <x v="142"/>
    <x v="5"/>
    <x v="17"/>
    <x v="1"/>
    <x v="5"/>
    <x v="2"/>
    <x v="1"/>
  </r>
  <r>
    <x v="142"/>
    <x v="1"/>
    <x v="1"/>
    <x v="1"/>
    <x v="1"/>
    <x v="1"/>
    <x v="1"/>
  </r>
  <r>
    <x v="143"/>
    <x v="1"/>
    <x v="1"/>
    <x v="1"/>
    <x v="1"/>
    <x v="1"/>
    <x v="1"/>
  </r>
  <r>
    <x v="144"/>
    <x v="6"/>
    <x v="96"/>
    <x v="1"/>
    <x v="15"/>
    <x v="3"/>
    <x v="1"/>
  </r>
  <r>
    <x v="144"/>
    <x v="1"/>
    <x v="1"/>
    <x v="1"/>
    <x v="1"/>
    <x v="1"/>
    <x v="1"/>
  </r>
  <r>
    <x v="145"/>
    <x v="1"/>
    <x v="1"/>
    <x v="1"/>
    <x v="1"/>
    <x v="1"/>
    <x v="1"/>
  </r>
  <r>
    <x v="146"/>
    <x v="4"/>
    <x v="97"/>
    <x v="1"/>
    <x v="4"/>
    <x v="2"/>
    <x v="1"/>
  </r>
  <r>
    <x v="146"/>
    <x v="1"/>
    <x v="1"/>
    <x v="1"/>
    <x v="1"/>
    <x v="1"/>
    <x v="1"/>
  </r>
  <r>
    <x v="147"/>
    <x v="1"/>
    <x v="1"/>
    <x v="1"/>
    <x v="1"/>
    <x v="1"/>
    <x v="1"/>
  </r>
  <r>
    <x v="147"/>
    <x v="7"/>
    <x v="98"/>
    <x v="1"/>
    <x v="6"/>
    <x v="4"/>
    <x v="1"/>
  </r>
  <r>
    <x v="147"/>
    <x v="20"/>
    <x v="99"/>
    <x v="1"/>
    <x v="7"/>
    <x v="4"/>
    <x v="1"/>
  </r>
  <r>
    <x v="147"/>
    <x v="9"/>
    <x v="100"/>
    <x v="1"/>
    <x v="8"/>
    <x v="1"/>
    <x v="1"/>
  </r>
  <r>
    <x v="148"/>
    <x v="10"/>
    <x v="101"/>
    <x v="1"/>
    <x v="9"/>
    <x v="3"/>
    <x v="1"/>
  </r>
  <r>
    <x v="149"/>
    <x v="11"/>
    <x v="0"/>
    <x v="6"/>
    <x v="10"/>
    <x v="5"/>
    <x v="0"/>
  </r>
  <r>
    <x v="149"/>
    <x v="1"/>
    <x v="1"/>
    <x v="1"/>
    <x v="1"/>
    <x v="1"/>
    <x v="1"/>
  </r>
  <r>
    <x v="150"/>
    <x v="1"/>
    <x v="1"/>
    <x v="1"/>
    <x v="1"/>
    <x v="1"/>
    <x v="1"/>
  </r>
  <r>
    <x v="150"/>
    <x v="12"/>
    <x v="8"/>
    <x v="1"/>
    <x v="12"/>
    <x v="2"/>
    <x v="1"/>
  </r>
  <r>
    <x v="151"/>
    <x v="13"/>
    <x v="102"/>
    <x v="1"/>
    <x v="13"/>
    <x v="4"/>
    <x v="1"/>
  </r>
  <r>
    <x v="151"/>
    <x v="14"/>
    <x v="33"/>
    <x v="1"/>
    <x v="6"/>
    <x v="4"/>
    <x v="1"/>
  </r>
  <r>
    <x v="151"/>
    <x v="1"/>
    <x v="1"/>
    <x v="1"/>
    <x v="1"/>
    <x v="1"/>
    <x v="1"/>
  </r>
  <r>
    <x v="152"/>
    <x v="1"/>
    <x v="1"/>
    <x v="1"/>
    <x v="1"/>
    <x v="1"/>
    <x v="1"/>
  </r>
  <r>
    <x v="153"/>
    <x v="1"/>
    <x v="1"/>
    <x v="1"/>
    <x v="1"/>
    <x v="1"/>
    <x v="1"/>
  </r>
  <r>
    <x v="153"/>
    <x v="4"/>
    <x v="103"/>
    <x v="1"/>
    <x v="4"/>
    <x v="2"/>
    <x v="1"/>
  </r>
  <r>
    <x v="154"/>
    <x v="15"/>
    <x v="104"/>
    <x v="1"/>
    <x v="8"/>
    <x v="1"/>
    <x v="1"/>
  </r>
  <r>
    <x v="155"/>
    <x v="16"/>
    <x v="105"/>
    <x v="1"/>
    <x v="8"/>
    <x v="1"/>
    <x v="1"/>
  </r>
  <r>
    <x v="156"/>
    <x v="17"/>
    <x v="17"/>
    <x v="1"/>
    <x v="14"/>
    <x v="6"/>
    <x v="1"/>
  </r>
  <r>
    <x v="156"/>
    <x v="6"/>
    <x v="106"/>
    <x v="1"/>
    <x v="15"/>
    <x v="3"/>
    <x v="1"/>
  </r>
  <r>
    <x v="156"/>
    <x v="1"/>
    <x v="1"/>
    <x v="1"/>
    <x v="1"/>
    <x v="1"/>
    <x v="1"/>
  </r>
  <r>
    <x v="157"/>
    <x v="1"/>
    <x v="1"/>
    <x v="1"/>
    <x v="1"/>
    <x v="1"/>
    <x v="1"/>
  </r>
  <r>
    <x v="158"/>
    <x v="1"/>
    <x v="1"/>
    <x v="1"/>
    <x v="1"/>
    <x v="1"/>
    <x v="1"/>
  </r>
  <r>
    <x v="159"/>
    <x v="1"/>
    <x v="1"/>
    <x v="1"/>
    <x v="1"/>
    <x v="1"/>
    <x v="1"/>
  </r>
  <r>
    <x v="160"/>
    <x v="1"/>
    <x v="1"/>
    <x v="1"/>
    <x v="1"/>
    <x v="1"/>
    <x v="1"/>
  </r>
  <r>
    <x v="160"/>
    <x v="4"/>
    <x v="107"/>
    <x v="1"/>
    <x v="4"/>
    <x v="2"/>
    <x v="1"/>
  </r>
  <r>
    <x v="161"/>
    <x v="18"/>
    <x v="108"/>
    <x v="1"/>
    <x v="7"/>
    <x v="4"/>
    <x v="1"/>
  </r>
  <r>
    <x v="161"/>
    <x v="19"/>
    <x v="109"/>
    <x v="1"/>
    <x v="6"/>
    <x v="4"/>
    <x v="1"/>
  </r>
  <r>
    <x v="162"/>
    <x v="8"/>
    <x v="110"/>
    <x v="1"/>
    <x v="7"/>
    <x v="4"/>
    <x v="1"/>
  </r>
  <r>
    <x v="162"/>
    <x v="10"/>
    <x v="111"/>
    <x v="1"/>
    <x v="9"/>
    <x v="3"/>
    <x v="1"/>
  </r>
  <r>
    <x v="162"/>
    <x v="24"/>
    <x v="61"/>
    <x v="1"/>
    <x v="8"/>
    <x v="1"/>
    <x v="1"/>
  </r>
  <r>
    <x v="163"/>
    <x v="1"/>
    <x v="1"/>
    <x v="1"/>
    <x v="1"/>
    <x v="1"/>
    <x v="1"/>
  </r>
  <r>
    <x v="164"/>
    <x v="1"/>
    <x v="1"/>
    <x v="1"/>
    <x v="1"/>
    <x v="1"/>
    <x v="1"/>
  </r>
  <r>
    <x v="165"/>
    <x v="0"/>
    <x v="0"/>
    <x v="0"/>
    <x v="16"/>
    <x v="0"/>
    <x v="0"/>
  </r>
  <r>
    <x v="166"/>
    <x v="1"/>
    <x v="1"/>
    <x v="1"/>
    <x v="1"/>
    <x v="1"/>
    <x v="1"/>
  </r>
  <r>
    <x v="167"/>
    <x v="2"/>
    <x v="2"/>
    <x v="1"/>
    <x v="2"/>
    <x v="2"/>
    <x v="1"/>
  </r>
  <r>
    <x v="167"/>
    <x v="3"/>
    <x v="3"/>
    <x v="1"/>
    <x v="3"/>
    <x v="3"/>
    <x v="1"/>
  </r>
  <r>
    <x v="167"/>
    <x v="27"/>
    <x v="61"/>
    <x v="1"/>
    <x v="8"/>
    <x v="1"/>
    <x v="1"/>
  </r>
  <r>
    <x v="167"/>
    <x v="1"/>
    <x v="1"/>
    <x v="1"/>
    <x v="1"/>
    <x v="1"/>
    <x v="1"/>
  </r>
  <r>
    <x v="168"/>
    <x v="1"/>
    <x v="1"/>
    <x v="1"/>
    <x v="1"/>
    <x v="1"/>
    <x v="1"/>
  </r>
  <r>
    <x v="169"/>
    <x v="1"/>
    <x v="1"/>
    <x v="1"/>
    <x v="1"/>
    <x v="1"/>
    <x v="1"/>
  </r>
  <r>
    <x v="169"/>
    <x v="4"/>
    <x v="112"/>
    <x v="1"/>
    <x v="4"/>
    <x v="2"/>
    <x v="1"/>
  </r>
  <r>
    <x v="170"/>
    <x v="5"/>
    <x v="113"/>
    <x v="1"/>
    <x v="5"/>
    <x v="2"/>
    <x v="1"/>
  </r>
  <r>
    <x v="170"/>
    <x v="1"/>
    <x v="1"/>
    <x v="1"/>
    <x v="1"/>
    <x v="1"/>
    <x v="1"/>
  </r>
  <r>
    <x v="171"/>
    <x v="1"/>
    <x v="1"/>
    <x v="1"/>
    <x v="1"/>
    <x v="1"/>
    <x v="1"/>
  </r>
  <r>
    <x v="172"/>
    <x v="6"/>
    <x v="114"/>
    <x v="1"/>
    <x v="15"/>
    <x v="3"/>
    <x v="1"/>
  </r>
  <r>
    <x v="172"/>
    <x v="1"/>
    <x v="1"/>
    <x v="1"/>
    <x v="1"/>
    <x v="1"/>
    <x v="1"/>
  </r>
  <r>
    <x v="173"/>
    <x v="1"/>
    <x v="1"/>
    <x v="1"/>
    <x v="1"/>
    <x v="1"/>
    <x v="1"/>
  </r>
  <r>
    <x v="174"/>
    <x v="4"/>
    <x v="115"/>
    <x v="1"/>
    <x v="4"/>
    <x v="2"/>
    <x v="1"/>
  </r>
  <r>
    <x v="174"/>
    <x v="1"/>
    <x v="1"/>
    <x v="1"/>
    <x v="1"/>
    <x v="1"/>
    <x v="1"/>
  </r>
  <r>
    <x v="175"/>
    <x v="1"/>
    <x v="1"/>
    <x v="1"/>
    <x v="1"/>
    <x v="1"/>
    <x v="1"/>
  </r>
  <r>
    <x v="175"/>
    <x v="7"/>
    <x v="116"/>
    <x v="1"/>
    <x v="6"/>
    <x v="4"/>
    <x v="1"/>
  </r>
  <r>
    <x v="175"/>
    <x v="20"/>
    <x v="117"/>
    <x v="1"/>
    <x v="7"/>
    <x v="4"/>
    <x v="1"/>
  </r>
  <r>
    <x v="175"/>
    <x v="9"/>
    <x v="118"/>
    <x v="1"/>
    <x v="8"/>
    <x v="1"/>
    <x v="1"/>
  </r>
  <r>
    <x v="176"/>
    <x v="10"/>
    <x v="119"/>
    <x v="1"/>
    <x v="9"/>
    <x v="3"/>
    <x v="1"/>
  </r>
  <r>
    <x v="177"/>
    <x v="11"/>
    <x v="0"/>
    <x v="7"/>
    <x v="10"/>
    <x v="5"/>
    <x v="0"/>
  </r>
  <r>
    <x v="177"/>
    <x v="1"/>
    <x v="1"/>
    <x v="1"/>
    <x v="1"/>
    <x v="1"/>
    <x v="1"/>
  </r>
  <r>
    <x v="178"/>
    <x v="1"/>
    <x v="1"/>
    <x v="1"/>
    <x v="1"/>
    <x v="1"/>
    <x v="1"/>
  </r>
  <r>
    <x v="178"/>
    <x v="12"/>
    <x v="8"/>
    <x v="1"/>
    <x v="12"/>
    <x v="2"/>
    <x v="1"/>
  </r>
  <r>
    <x v="179"/>
    <x v="13"/>
    <x v="25"/>
    <x v="1"/>
    <x v="13"/>
    <x v="4"/>
    <x v="1"/>
  </r>
  <r>
    <x v="179"/>
    <x v="14"/>
    <x v="33"/>
    <x v="1"/>
    <x v="6"/>
    <x v="4"/>
    <x v="1"/>
  </r>
  <r>
    <x v="179"/>
    <x v="1"/>
    <x v="1"/>
    <x v="1"/>
    <x v="1"/>
    <x v="1"/>
    <x v="1"/>
  </r>
  <r>
    <x v="180"/>
    <x v="1"/>
    <x v="1"/>
    <x v="1"/>
    <x v="1"/>
    <x v="1"/>
    <x v="1"/>
  </r>
  <r>
    <x v="181"/>
    <x v="1"/>
    <x v="1"/>
    <x v="1"/>
    <x v="1"/>
    <x v="1"/>
    <x v="1"/>
  </r>
  <r>
    <x v="181"/>
    <x v="4"/>
    <x v="120"/>
    <x v="1"/>
    <x v="4"/>
    <x v="2"/>
    <x v="1"/>
  </r>
  <r>
    <x v="182"/>
    <x v="15"/>
    <x v="121"/>
    <x v="1"/>
    <x v="8"/>
    <x v="1"/>
    <x v="1"/>
  </r>
  <r>
    <x v="183"/>
    <x v="16"/>
    <x v="122"/>
    <x v="1"/>
    <x v="8"/>
    <x v="1"/>
    <x v="1"/>
  </r>
  <r>
    <x v="184"/>
    <x v="17"/>
    <x v="17"/>
    <x v="1"/>
    <x v="14"/>
    <x v="6"/>
    <x v="1"/>
  </r>
  <r>
    <x v="184"/>
    <x v="6"/>
    <x v="123"/>
    <x v="1"/>
    <x v="15"/>
    <x v="3"/>
    <x v="1"/>
  </r>
  <r>
    <x v="184"/>
    <x v="1"/>
    <x v="1"/>
    <x v="1"/>
    <x v="1"/>
    <x v="1"/>
    <x v="1"/>
  </r>
  <r>
    <x v="185"/>
    <x v="1"/>
    <x v="1"/>
    <x v="1"/>
    <x v="1"/>
    <x v="1"/>
    <x v="1"/>
  </r>
  <r>
    <x v="186"/>
    <x v="1"/>
    <x v="1"/>
    <x v="1"/>
    <x v="1"/>
    <x v="1"/>
    <x v="1"/>
  </r>
  <r>
    <x v="187"/>
    <x v="1"/>
    <x v="1"/>
    <x v="1"/>
    <x v="1"/>
    <x v="1"/>
    <x v="1"/>
  </r>
  <r>
    <x v="188"/>
    <x v="1"/>
    <x v="1"/>
    <x v="1"/>
    <x v="1"/>
    <x v="1"/>
    <x v="1"/>
  </r>
  <r>
    <x v="188"/>
    <x v="4"/>
    <x v="124"/>
    <x v="1"/>
    <x v="4"/>
    <x v="2"/>
    <x v="1"/>
  </r>
  <r>
    <x v="189"/>
    <x v="18"/>
    <x v="125"/>
    <x v="1"/>
    <x v="7"/>
    <x v="4"/>
    <x v="1"/>
  </r>
  <r>
    <x v="189"/>
    <x v="26"/>
    <x v="126"/>
    <x v="1"/>
    <x v="18"/>
    <x v="4"/>
    <x v="1"/>
  </r>
  <r>
    <x v="190"/>
    <x v="8"/>
    <x v="127"/>
    <x v="1"/>
    <x v="7"/>
    <x v="4"/>
    <x v="1"/>
  </r>
  <r>
    <x v="190"/>
    <x v="10"/>
    <x v="128"/>
    <x v="1"/>
    <x v="9"/>
    <x v="3"/>
    <x v="1"/>
  </r>
  <r>
    <x v="190"/>
    <x v="24"/>
    <x v="61"/>
    <x v="1"/>
    <x v="8"/>
    <x v="1"/>
    <x v="1"/>
  </r>
  <r>
    <x v="191"/>
    <x v="1"/>
    <x v="1"/>
    <x v="1"/>
    <x v="1"/>
    <x v="1"/>
    <x v="1"/>
  </r>
  <r>
    <x v="192"/>
    <x v="1"/>
    <x v="1"/>
    <x v="1"/>
    <x v="1"/>
    <x v="1"/>
    <x v="1"/>
  </r>
  <r>
    <x v="192"/>
    <x v="0"/>
    <x v="0"/>
    <x v="0"/>
    <x v="16"/>
    <x v="0"/>
    <x v="0"/>
  </r>
  <r>
    <x v="193"/>
    <x v="1"/>
    <x v="1"/>
    <x v="1"/>
    <x v="1"/>
    <x v="1"/>
    <x v="1"/>
  </r>
  <r>
    <x v="194"/>
    <x v="2"/>
    <x v="2"/>
    <x v="1"/>
    <x v="2"/>
    <x v="2"/>
    <x v="1"/>
  </r>
  <r>
    <x v="194"/>
    <x v="3"/>
    <x v="3"/>
    <x v="1"/>
    <x v="3"/>
    <x v="3"/>
    <x v="1"/>
  </r>
  <r>
    <x v="194"/>
    <x v="1"/>
    <x v="1"/>
    <x v="1"/>
    <x v="1"/>
    <x v="1"/>
    <x v="1"/>
  </r>
  <r>
    <x v="194"/>
    <x v="1"/>
    <x v="1"/>
    <x v="1"/>
    <x v="1"/>
    <x v="1"/>
    <x v="1"/>
  </r>
  <r>
    <x v="195"/>
    <x v="1"/>
    <x v="1"/>
    <x v="1"/>
    <x v="1"/>
    <x v="1"/>
    <x v="1"/>
  </r>
  <r>
    <x v="196"/>
    <x v="1"/>
    <x v="1"/>
    <x v="1"/>
    <x v="1"/>
    <x v="1"/>
    <x v="1"/>
  </r>
  <r>
    <x v="196"/>
    <x v="4"/>
    <x v="40"/>
    <x v="1"/>
    <x v="4"/>
    <x v="2"/>
    <x v="1"/>
  </r>
  <r>
    <x v="197"/>
    <x v="5"/>
    <x v="129"/>
    <x v="1"/>
    <x v="5"/>
    <x v="2"/>
    <x v="1"/>
  </r>
  <r>
    <x v="197"/>
    <x v="1"/>
    <x v="1"/>
    <x v="1"/>
    <x v="1"/>
    <x v="1"/>
    <x v="1"/>
  </r>
  <r>
    <x v="198"/>
    <x v="1"/>
    <x v="1"/>
    <x v="1"/>
    <x v="1"/>
    <x v="1"/>
    <x v="1"/>
  </r>
  <r>
    <x v="199"/>
    <x v="6"/>
    <x v="130"/>
    <x v="1"/>
    <x v="15"/>
    <x v="3"/>
    <x v="1"/>
  </r>
  <r>
    <x v="199"/>
    <x v="1"/>
    <x v="1"/>
    <x v="1"/>
    <x v="1"/>
    <x v="1"/>
    <x v="1"/>
  </r>
  <r>
    <x v="200"/>
    <x v="1"/>
    <x v="1"/>
    <x v="1"/>
    <x v="1"/>
    <x v="1"/>
    <x v="1"/>
  </r>
  <r>
    <x v="201"/>
    <x v="4"/>
    <x v="131"/>
    <x v="1"/>
    <x v="4"/>
    <x v="2"/>
    <x v="1"/>
  </r>
  <r>
    <x v="201"/>
    <x v="1"/>
    <x v="1"/>
    <x v="1"/>
    <x v="1"/>
    <x v="1"/>
    <x v="1"/>
  </r>
  <r>
    <x v="202"/>
    <x v="1"/>
    <x v="1"/>
    <x v="1"/>
    <x v="1"/>
    <x v="1"/>
    <x v="1"/>
  </r>
  <r>
    <x v="202"/>
    <x v="7"/>
    <x v="51"/>
    <x v="1"/>
    <x v="6"/>
    <x v="4"/>
    <x v="1"/>
  </r>
  <r>
    <x v="202"/>
    <x v="28"/>
    <x v="132"/>
    <x v="1"/>
    <x v="7"/>
    <x v="4"/>
    <x v="1"/>
  </r>
  <r>
    <x v="202"/>
    <x v="9"/>
    <x v="133"/>
    <x v="1"/>
    <x v="8"/>
    <x v="1"/>
    <x v="1"/>
  </r>
  <r>
    <x v="203"/>
    <x v="10"/>
    <x v="134"/>
    <x v="1"/>
    <x v="9"/>
    <x v="3"/>
    <x v="1"/>
  </r>
  <r>
    <x v="204"/>
    <x v="11"/>
    <x v="0"/>
    <x v="3"/>
    <x v="10"/>
    <x v="5"/>
    <x v="0"/>
  </r>
  <r>
    <x v="204"/>
    <x v="1"/>
    <x v="1"/>
    <x v="1"/>
    <x v="1"/>
    <x v="1"/>
    <x v="1"/>
  </r>
  <r>
    <x v="205"/>
    <x v="1"/>
    <x v="1"/>
    <x v="1"/>
    <x v="1"/>
    <x v="1"/>
    <x v="1"/>
  </r>
  <r>
    <x v="205"/>
    <x v="12"/>
    <x v="8"/>
    <x v="1"/>
    <x v="12"/>
    <x v="2"/>
    <x v="1"/>
  </r>
  <r>
    <x v="206"/>
    <x v="13"/>
    <x v="44"/>
    <x v="1"/>
    <x v="13"/>
    <x v="4"/>
    <x v="1"/>
  </r>
  <r>
    <x v="206"/>
    <x v="14"/>
    <x v="33"/>
    <x v="1"/>
    <x v="6"/>
    <x v="4"/>
    <x v="1"/>
  </r>
  <r>
    <x v="206"/>
    <x v="1"/>
    <x v="1"/>
    <x v="1"/>
    <x v="1"/>
    <x v="1"/>
    <x v="1"/>
  </r>
  <r>
    <x v="207"/>
    <x v="1"/>
    <x v="1"/>
    <x v="1"/>
    <x v="1"/>
    <x v="1"/>
    <x v="1"/>
  </r>
  <r>
    <x v="208"/>
    <x v="1"/>
    <x v="1"/>
    <x v="1"/>
    <x v="1"/>
    <x v="1"/>
    <x v="1"/>
  </r>
  <r>
    <x v="208"/>
    <x v="4"/>
    <x v="135"/>
    <x v="1"/>
    <x v="4"/>
    <x v="2"/>
    <x v="1"/>
  </r>
  <r>
    <x v="209"/>
    <x v="15"/>
    <x v="136"/>
    <x v="1"/>
    <x v="8"/>
    <x v="1"/>
    <x v="1"/>
  </r>
  <r>
    <x v="210"/>
    <x v="16"/>
    <x v="137"/>
    <x v="1"/>
    <x v="8"/>
    <x v="1"/>
    <x v="1"/>
  </r>
  <r>
    <x v="211"/>
    <x v="17"/>
    <x v="17"/>
    <x v="1"/>
    <x v="14"/>
    <x v="6"/>
    <x v="1"/>
  </r>
  <r>
    <x v="211"/>
    <x v="6"/>
    <x v="138"/>
    <x v="1"/>
    <x v="15"/>
    <x v="3"/>
    <x v="1"/>
  </r>
  <r>
    <x v="211"/>
    <x v="1"/>
    <x v="1"/>
    <x v="1"/>
    <x v="1"/>
    <x v="1"/>
    <x v="1"/>
  </r>
  <r>
    <x v="212"/>
    <x v="1"/>
    <x v="1"/>
    <x v="1"/>
    <x v="1"/>
    <x v="1"/>
    <x v="1"/>
  </r>
  <r>
    <x v="213"/>
    <x v="1"/>
    <x v="1"/>
    <x v="1"/>
    <x v="1"/>
    <x v="1"/>
    <x v="1"/>
  </r>
  <r>
    <x v="214"/>
    <x v="1"/>
    <x v="1"/>
    <x v="1"/>
    <x v="1"/>
    <x v="1"/>
    <x v="1"/>
  </r>
  <r>
    <x v="215"/>
    <x v="1"/>
    <x v="1"/>
    <x v="1"/>
    <x v="1"/>
    <x v="1"/>
    <x v="1"/>
  </r>
  <r>
    <x v="215"/>
    <x v="4"/>
    <x v="139"/>
    <x v="1"/>
    <x v="4"/>
    <x v="2"/>
    <x v="1"/>
  </r>
  <r>
    <x v="216"/>
    <x v="18"/>
    <x v="140"/>
    <x v="1"/>
    <x v="7"/>
    <x v="4"/>
    <x v="1"/>
  </r>
  <r>
    <x v="216"/>
    <x v="19"/>
    <x v="141"/>
    <x v="1"/>
    <x v="6"/>
    <x v="4"/>
    <x v="1"/>
  </r>
  <r>
    <x v="217"/>
    <x v="8"/>
    <x v="142"/>
    <x v="1"/>
    <x v="7"/>
    <x v="4"/>
    <x v="1"/>
  </r>
  <r>
    <x v="217"/>
    <x v="10"/>
    <x v="143"/>
    <x v="1"/>
    <x v="9"/>
    <x v="3"/>
    <x v="1"/>
  </r>
  <r>
    <x v="217"/>
    <x v="24"/>
    <x v="61"/>
    <x v="1"/>
    <x v="8"/>
    <x v="1"/>
    <x v="1"/>
  </r>
  <r>
    <x v="218"/>
    <x v="1"/>
    <x v="1"/>
    <x v="1"/>
    <x v="1"/>
    <x v="1"/>
    <x v="1"/>
  </r>
  <r>
    <x v="219"/>
    <x v="1"/>
    <x v="1"/>
    <x v="1"/>
    <x v="1"/>
    <x v="1"/>
    <x v="1"/>
  </r>
  <r>
    <x v="219"/>
    <x v="0"/>
    <x v="0"/>
    <x v="0"/>
    <x v="16"/>
    <x v="0"/>
    <x v="0"/>
  </r>
  <r>
    <x v="220"/>
    <x v="1"/>
    <x v="1"/>
    <x v="1"/>
    <x v="1"/>
    <x v="1"/>
    <x v="1"/>
  </r>
  <r>
    <x v="221"/>
    <x v="2"/>
    <x v="2"/>
    <x v="1"/>
    <x v="2"/>
    <x v="2"/>
    <x v="1"/>
  </r>
  <r>
    <x v="221"/>
    <x v="3"/>
    <x v="3"/>
    <x v="1"/>
    <x v="3"/>
    <x v="3"/>
    <x v="1"/>
  </r>
  <r>
    <x v="221"/>
    <x v="1"/>
    <x v="1"/>
    <x v="1"/>
    <x v="1"/>
    <x v="1"/>
    <x v="1"/>
  </r>
  <r>
    <x v="221"/>
    <x v="1"/>
    <x v="1"/>
    <x v="1"/>
    <x v="1"/>
    <x v="1"/>
    <x v="1"/>
  </r>
  <r>
    <x v="222"/>
    <x v="1"/>
    <x v="1"/>
    <x v="1"/>
    <x v="1"/>
    <x v="1"/>
    <x v="1"/>
  </r>
  <r>
    <x v="223"/>
    <x v="1"/>
    <x v="1"/>
    <x v="1"/>
    <x v="1"/>
    <x v="1"/>
    <x v="1"/>
  </r>
  <r>
    <x v="223"/>
    <x v="4"/>
    <x v="144"/>
    <x v="1"/>
    <x v="4"/>
    <x v="2"/>
    <x v="1"/>
  </r>
  <r>
    <x v="224"/>
    <x v="5"/>
    <x v="145"/>
    <x v="1"/>
    <x v="5"/>
    <x v="2"/>
    <x v="1"/>
  </r>
  <r>
    <x v="224"/>
    <x v="1"/>
    <x v="1"/>
    <x v="1"/>
    <x v="1"/>
    <x v="1"/>
    <x v="1"/>
  </r>
  <r>
    <x v="225"/>
    <x v="1"/>
    <x v="1"/>
    <x v="1"/>
    <x v="1"/>
    <x v="1"/>
    <x v="1"/>
  </r>
  <r>
    <x v="226"/>
    <x v="6"/>
    <x v="146"/>
    <x v="1"/>
    <x v="15"/>
    <x v="3"/>
    <x v="1"/>
  </r>
  <r>
    <x v="226"/>
    <x v="1"/>
    <x v="1"/>
    <x v="1"/>
    <x v="1"/>
    <x v="1"/>
    <x v="1"/>
  </r>
  <r>
    <x v="227"/>
    <x v="1"/>
    <x v="1"/>
    <x v="1"/>
    <x v="1"/>
    <x v="1"/>
    <x v="1"/>
  </r>
  <r>
    <x v="228"/>
    <x v="4"/>
    <x v="147"/>
    <x v="1"/>
    <x v="4"/>
    <x v="2"/>
    <x v="1"/>
  </r>
  <r>
    <x v="228"/>
    <x v="1"/>
    <x v="1"/>
    <x v="1"/>
    <x v="1"/>
    <x v="1"/>
    <x v="1"/>
  </r>
  <r>
    <x v="229"/>
    <x v="1"/>
    <x v="1"/>
    <x v="1"/>
    <x v="1"/>
    <x v="1"/>
    <x v="1"/>
  </r>
  <r>
    <x v="229"/>
    <x v="7"/>
    <x v="148"/>
    <x v="1"/>
    <x v="6"/>
    <x v="4"/>
    <x v="1"/>
  </r>
  <r>
    <x v="229"/>
    <x v="20"/>
    <x v="149"/>
    <x v="1"/>
    <x v="7"/>
    <x v="4"/>
    <x v="1"/>
  </r>
  <r>
    <x v="229"/>
    <x v="9"/>
    <x v="150"/>
    <x v="1"/>
    <x v="8"/>
    <x v="1"/>
    <x v="1"/>
  </r>
  <r>
    <x v="230"/>
    <x v="10"/>
    <x v="151"/>
    <x v="1"/>
    <x v="9"/>
    <x v="3"/>
    <x v="1"/>
  </r>
  <r>
    <x v="231"/>
    <x v="11"/>
    <x v="0"/>
    <x v="6"/>
    <x v="10"/>
    <x v="5"/>
    <x v="0"/>
  </r>
  <r>
    <x v="231"/>
    <x v="1"/>
    <x v="1"/>
    <x v="1"/>
    <x v="1"/>
    <x v="1"/>
    <x v="1"/>
  </r>
  <r>
    <x v="232"/>
    <x v="1"/>
    <x v="1"/>
    <x v="1"/>
    <x v="1"/>
    <x v="1"/>
    <x v="1"/>
  </r>
  <r>
    <x v="232"/>
    <x v="12"/>
    <x v="8"/>
    <x v="1"/>
    <x v="12"/>
    <x v="2"/>
    <x v="1"/>
  </r>
  <r>
    <x v="233"/>
    <x v="13"/>
    <x v="30"/>
    <x v="1"/>
    <x v="13"/>
    <x v="4"/>
    <x v="1"/>
  </r>
  <r>
    <x v="233"/>
    <x v="14"/>
    <x v="33"/>
    <x v="1"/>
    <x v="6"/>
    <x v="4"/>
    <x v="1"/>
  </r>
  <r>
    <x v="233"/>
    <x v="1"/>
    <x v="1"/>
    <x v="1"/>
    <x v="1"/>
    <x v="1"/>
    <x v="1"/>
  </r>
  <r>
    <x v="234"/>
    <x v="1"/>
    <x v="1"/>
    <x v="1"/>
    <x v="1"/>
    <x v="1"/>
    <x v="1"/>
  </r>
  <r>
    <x v="235"/>
    <x v="1"/>
    <x v="1"/>
    <x v="1"/>
    <x v="1"/>
    <x v="1"/>
    <x v="1"/>
  </r>
  <r>
    <x v="235"/>
    <x v="4"/>
    <x v="152"/>
    <x v="1"/>
    <x v="4"/>
    <x v="2"/>
    <x v="1"/>
  </r>
  <r>
    <x v="236"/>
    <x v="15"/>
    <x v="153"/>
    <x v="1"/>
    <x v="8"/>
    <x v="1"/>
    <x v="1"/>
  </r>
  <r>
    <x v="237"/>
    <x v="16"/>
    <x v="154"/>
    <x v="1"/>
    <x v="8"/>
    <x v="1"/>
    <x v="1"/>
  </r>
  <r>
    <x v="238"/>
    <x v="17"/>
    <x v="17"/>
    <x v="1"/>
    <x v="14"/>
    <x v="6"/>
    <x v="1"/>
  </r>
  <r>
    <x v="238"/>
    <x v="6"/>
    <x v="155"/>
    <x v="1"/>
    <x v="15"/>
    <x v="3"/>
    <x v="1"/>
  </r>
  <r>
    <x v="238"/>
    <x v="1"/>
    <x v="1"/>
    <x v="1"/>
    <x v="1"/>
    <x v="1"/>
    <x v="1"/>
  </r>
  <r>
    <x v="239"/>
    <x v="1"/>
    <x v="1"/>
    <x v="1"/>
    <x v="1"/>
    <x v="1"/>
    <x v="1"/>
  </r>
  <r>
    <x v="240"/>
    <x v="1"/>
    <x v="1"/>
    <x v="1"/>
    <x v="1"/>
    <x v="1"/>
    <x v="1"/>
  </r>
  <r>
    <x v="241"/>
    <x v="1"/>
    <x v="1"/>
    <x v="1"/>
    <x v="1"/>
    <x v="1"/>
    <x v="1"/>
  </r>
  <r>
    <x v="242"/>
    <x v="1"/>
    <x v="1"/>
    <x v="1"/>
    <x v="1"/>
    <x v="1"/>
    <x v="1"/>
  </r>
  <r>
    <x v="242"/>
    <x v="4"/>
    <x v="156"/>
    <x v="1"/>
    <x v="4"/>
    <x v="2"/>
    <x v="1"/>
  </r>
  <r>
    <x v="243"/>
    <x v="18"/>
    <x v="157"/>
    <x v="1"/>
    <x v="7"/>
    <x v="4"/>
    <x v="1"/>
  </r>
  <r>
    <x v="243"/>
    <x v="21"/>
    <x v="21"/>
    <x v="1"/>
    <x v="7"/>
    <x v="4"/>
    <x v="1"/>
  </r>
  <r>
    <x v="244"/>
    <x v="8"/>
    <x v="158"/>
    <x v="1"/>
    <x v="7"/>
    <x v="4"/>
    <x v="1"/>
  </r>
  <r>
    <x v="244"/>
    <x v="10"/>
    <x v="159"/>
    <x v="1"/>
    <x v="9"/>
    <x v="3"/>
    <x v="1"/>
  </r>
  <r>
    <x v="244"/>
    <x v="24"/>
    <x v="61"/>
    <x v="1"/>
    <x v="8"/>
    <x v="1"/>
    <x v="1"/>
  </r>
  <r>
    <x v="245"/>
    <x v="1"/>
    <x v="1"/>
    <x v="1"/>
    <x v="1"/>
    <x v="1"/>
    <x v="1"/>
  </r>
  <r>
    <x v="246"/>
    <x v="1"/>
    <x v="1"/>
    <x v="1"/>
    <x v="1"/>
    <x v="1"/>
    <x v="1"/>
  </r>
  <r>
    <x v="246"/>
    <x v="0"/>
    <x v="0"/>
    <x v="0"/>
    <x v="16"/>
    <x v="0"/>
    <x v="0"/>
  </r>
  <r>
    <x v="247"/>
    <x v="1"/>
    <x v="1"/>
    <x v="1"/>
    <x v="1"/>
    <x v="1"/>
    <x v="1"/>
  </r>
  <r>
    <x v="248"/>
    <x v="2"/>
    <x v="2"/>
    <x v="1"/>
    <x v="2"/>
    <x v="2"/>
    <x v="1"/>
  </r>
  <r>
    <x v="248"/>
    <x v="3"/>
    <x v="3"/>
    <x v="1"/>
    <x v="3"/>
    <x v="3"/>
    <x v="1"/>
  </r>
  <r>
    <x v="248"/>
    <x v="1"/>
    <x v="1"/>
    <x v="1"/>
    <x v="1"/>
    <x v="1"/>
    <x v="1"/>
  </r>
  <r>
    <x v="248"/>
    <x v="1"/>
    <x v="1"/>
    <x v="1"/>
    <x v="1"/>
    <x v="1"/>
    <x v="1"/>
  </r>
  <r>
    <x v="249"/>
    <x v="1"/>
    <x v="1"/>
    <x v="1"/>
    <x v="1"/>
    <x v="1"/>
    <x v="1"/>
  </r>
  <r>
    <x v="250"/>
    <x v="1"/>
    <x v="1"/>
    <x v="1"/>
    <x v="1"/>
    <x v="1"/>
    <x v="1"/>
  </r>
  <r>
    <x v="250"/>
    <x v="4"/>
    <x v="160"/>
    <x v="1"/>
    <x v="4"/>
    <x v="2"/>
    <x v="1"/>
  </r>
  <r>
    <x v="251"/>
    <x v="5"/>
    <x v="161"/>
    <x v="1"/>
    <x v="5"/>
    <x v="2"/>
    <x v="1"/>
  </r>
  <r>
    <x v="251"/>
    <x v="1"/>
    <x v="1"/>
    <x v="1"/>
    <x v="1"/>
    <x v="1"/>
    <x v="1"/>
  </r>
  <r>
    <x v="252"/>
    <x v="1"/>
    <x v="1"/>
    <x v="1"/>
    <x v="1"/>
    <x v="1"/>
    <x v="1"/>
  </r>
  <r>
    <x v="253"/>
    <x v="6"/>
    <x v="162"/>
    <x v="1"/>
    <x v="15"/>
    <x v="3"/>
    <x v="1"/>
  </r>
  <r>
    <x v="253"/>
    <x v="1"/>
    <x v="1"/>
    <x v="1"/>
    <x v="1"/>
    <x v="1"/>
    <x v="1"/>
  </r>
  <r>
    <x v="254"/>
    <x v="1"/>
    <x v="1"/>
    <x v="1"/>
    <x v="1"/>
    <x v="1"/>
    <x v="1"/>
  </r>
  <r>
    <x v="255"/>
    <x v="4"/>
    <x v="163"/>
    <x v="1"/>
    <x v="4"/>
    <x v="2"/>
    <x v="1"/>
  </r>
  <r>
    <x v="255"/>
    <x v="1"/>
    <x v="1"/>
    <x v="1"/>
    <x v="1"/>
    <x v="1"/>
    <x v="1"/>
  </r>
  <r>
    <x v="256"/>
    <x v="1"/>
    <x v="1"/>
    <x v="1"/>
    <x v="1"/>
    <x v="1"/>
    <x v="1"/>
  </r>
  <r>
    <x v="256"/>
    <x v="7"/>
    <x v="164"/>
    <x v="1"/>
    <x v="6"/>
    <x v="4"/>
    <x v="1"/>
  </r>
  <r>
    <x v="256"/>
    <x v="20"/>
    <x v="165"/>
    <x v="1"/>
    <x v="7"/>
    <x v="4"/>
    <x v="1"/>
  </r>
  <r>
    <x v="256"/>
    <x v="9"/>
    <x v="166"/>
    <x v="1"/>
    <x v="8"/>
    <x v="1"/>
    <x v="1"/>
  </r>
  <r>
    <x v="257"/>
    <x v="10"/>
    <x v="167"/>
    <x v="1"/>
    <x v="9"/>
    <x v="3"/>
    <x v="1"/>
  </r>
  <r>
    <x v="258"/>
    <x v="11"/>
    <x v="0"/>
    <x v="6"/>
    <x v="10"/>
    <x v="5"/>
    <x v="0"/>
  </r>
  <r>
    <x v="258"/>
    <x v="1"/>
    <x v="1"/>
    <x v="1"/>
    <x v="1"/>
    <x v="1"/>
    <x v="1"/>
  </r>
  <r>
    <x v="259"/>
    <x v="1"/>
    <x v="1"/>
    <x v="1"/>
    <x v="1"/>
    <x v="1"/>
    <x v="1"/>
  </r>
  <r>
    <x v="259"/>
    <x v="22"/>
    <x v="50"/>
    <x v="1"/>
    <x v="17"/>
    <x v="7"/>
    <x v="1"/>
  </r>
  <r>
    <x v="259"/>
    <x v="12"/>
    <x v="8"/>
    <x v="1"/>
    <x v="12"/>
    <x v="2"/>
    <x v="1"/>
  </r>
  <r>
    <x v="260"/>
    <x v="13"/>
    <x v="79"/>
    <x v="1"/>
    <x v="13"/>
    <x v="4"/>
    <x v="1"/>
  </r>
  <r>
    <x v="260"/>
    <x v="14"/>
    <x v="33"/>
    <x v="1"/>
    <x v="6"/>
    <x v="4"/>
    <x v="1"/>
  </r>
  <r>
    <x v="260"/>
    <x v="1"/>
    <x v="1"/>
    <x v="1"/>
    <x v="1"/>
    <x v="1"/>
    <x v="1"/>
  </r>
  <r>
    <x v="261"/>
    <x v="1"/>
    <x v="1"/>
    <x v="1"/>
    <x v="1"/>
    <x v="1"/>
    <x v="1"/>
  </r>
  <r>
    <x v="262"/>
    <x v="1"/>
    <x v="1"/>
    <x v="1"/>
    <x v="1"/>
    <x v="1"/>
    <x v="1"/>
  </r>
  <r>
    <x v="262"/>
    <x v="4"/>
    <x v="168"/>
    <x v="1"/>
    <x v="4"/>
    <x v="2"/>
    <x v="1"/>
  </r>
  <r>
    <x v="263"/>
    <x v="15"/>
    <x v="169"/>
    <x v="1"/>
    <x v="8"/>
    <x v="1"/>
    <x v="1"/>
  </r>
  <r>
    <x v="264"/>
    <x v="16"/>
    <x v="170"/>
    <x v="1"/>
    <x v="8"/>
    <x v="1"/>
    <x v="1"/>
  </r>
  <r>
    <x v="265"/>
    <x v="17"/>
    <x v="17"/>
    <x v="1"/>
    <x v="14"/>
    <x v="6"/>
    <x v="1"/>
  </r>
  <r>
    <x v="265"/>
    <x v="6"/>
    <x v="171"/>
    <x v="1"/>
    <x v="15"/>
    <x v="3"/>
    <x v="1"/>
  </r>
  <r>
    <x v="265"/>
    <x v="1"/>
    <x v="1"/>
    <x v="1"/>
    <x v="1"/>
    <x v="1"/>
    <x v="1"/>
  </r>
  <r>
    <x v="266"/>
    <x v="1"/>
    <x v="1"/>
    <x v="1"/>
    <x v="1"/>
    <x v="1"/>
    <x v="1"/>
  </r>
  <r>
    <x v="267"/>
    <x v="1"/>
    <x v="1"/>
    <x v="1"/>
    <x v="1"/>
    <x v="1"/>
    <x v="1"/>
  </r>
  <r>
    <x v="268"/>
    <x v="1"/>
    <x v="1"/>
    <x v="1"/>
    <x v="1"/>
    <x v="1"/>
    <x v="1"/>
  </r>
  <r>
    <x v="269"/>
    <x v="1"/>
    <x v="1"/>
    <x v="1"/>
    <x v="1"/>
    <x v="1"/>
    <x v="1"/>
  </r>
  <r>
    <x v="269"/>
    <x v="4"/>
    <x v="172"/>
    <x v="1"/>
    <x v="4"/>
    <x v="2"/>
    <x v="1"/>
  </r>
  <r>
    <x v="270"/>
    <x v="18"/>
    <x v="173"/>
    <x v="1"/>
    <x v="7"/>
    <x v="4"/>
    <x v="1"/>
  </r>
  <r>
    <x v="270"/>
    <x v="19"/>
    <x v="174"/>
    <x v="1"/>
    <x v="6"/>
    <x v="4"/>
    <x v="1"/>
  </r>
  <r>
    <x v="271"/>
    <x v="29"/>
    <x v="175"/>
    <x v="1"/>
    <x v="7"/>
    <x v="4"/>
    <x v="1"/>
  </r>
  <r>
    <x v="271"/>
    <x v="10"/>
    <x v="176"/>
    <x v="1"/>
    <x v="9"/>
    <x v="3"/>
    <x v="1"/>
  </r>
  <r>
    <x v="271"/>
    <x v="24"/>
    <x v="61"/>
    <x v="1"/>
    <x v="8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d v="2024-01-09T00:00:00"/>
    <s v="Nextleap DAF"/>
    <n v="0"/>
    <n v="120000"/>
    <s v="Nextleap DAF"/>
    <s v="Salary"/>
    <s v="Income"/>
    <x v="0"/>
  </r>
  <r>
    <d v="2024-01-09T00:00:00"/>
    <s v="Drink"/>
    <n v="120"/>
    <n v="0"/>
    <s v="Coffee"/>
    <s v="Dining Out"/>
    <s v="Expense"/>
    <x v="0"/>
  </r>
  <r>
    <d v="2024-01-10T00:00:00"/>
    <s v="Flat Expenses"/>
    <n v="21600"/>
    <n v="0"/>
    <s v="Rent"/>
    <s v="Living Expenses"/>
    <s v="Expense"/>
    <x v="0"/>
  </r>
  <r>
    <d v="2024-01-10T00:00:00"/>
    <s v="EMI"/>
    <n v="3600"/>
    <n v="0"/>
    <s v="Cash loan"/>
    <s v="Transport"/>
    <s v="Expense"/>
    <x v="0"/>
  </r>
  <r>
    <d v="2024-01-10T00:00:00"/>
    <s v="Drink"/>
    <n v="120"/>
    <n v="0"/>
    <s v="Coffee"/>
    <s v="Dining Out"/>
    <s v="Expense"/>
    <x v="0"/>
  </r>
  <r>
    <d v="2024-01-11T00:00:00"/>
    <s v="Drink"/>
    <n v="120"/>
    <n v="0"/>
    <s v="Coffee"/>
    <s v="Dining Out"/>
    <s v="Expense"/>
    <x v="0"/>
  </r>
  <r>
    <d v="2024-01-12T00:00:00"/>
    <s v="Drink"/>
    <n v="120"/>
    <n v="0"/>
    <s v="Coffee"/>
    <s v="Dining Out"/>
    <s v="Expense"/>
    <x v="0"/>
  </r>
  <r>
    <d v="2024-01-13T00:00:00"/>
    <s v="Drink"/>
    <n v="120"/>
    <n v="0"/>
    <s v="Coffee"/>
    <s v="Dining Out"/>
    <s v="Expense"/>
    <x v="0"/>
  </r>
  <r>
    <d v="2024-01-13T00:00:00"/>
    <s v="Green's"/>
    <n v="3720"/>
    <n v="0"/>
    <s v="Groceries"/>
    <s v="Living Expenses"/>
    <s v="Expense"/>
    <x v="0"/>
  </r>
  <r>
    <d v="2024-01-16T00:00:00"/>
    <s v="Power source"/>
    <n v="1200"/>
    <n v="0"/>
    <s v="Gas/Electrics"/>
    <s v="Living Expenses"/>
    <s v="Expense"/>
    <x v="0"/>
  </r>
  <r>
    <d v="2024-01-16T00:00:00"/>
    <s v="Drink"/>
    <n v="120"/>
    <n v="0"/>
    <s v="Coffee"/>
    <s v="Dining Out"/>
    <s v="Expense"/>
    <x v="0"/>
  </r>
  <r>
    <d v="2024-01-17T00:00:00"/>
    <s v="Drink"/>
    <n v="120"/>
    <n v="0"/>
    <s v="Coffee"/>
    <s v="Dining Out"/>
    <s v="Expense"/>
    <x v="0"/>
  </r>
  <r>
    <d v="2024-01-18T00:00:00"/>
    <s v="Fuel"/>
    <n v="1848"/>
    <n v="0"/>
    <s v="Coffee"/>
    <s v="Dining Out"/>
    <s v="Expense"/>
    <x v="0"/>
  </r>
  <r>
    <d v="2024-01-18T00:00:00"/>
    <s v="Drink"/>
    <n v="120"/>
    <n v="0"/>
    <s v="Coffee"/>
    <s v="Dining Out"/>
    <s v="Expense"/>
    <x v="0"/>
  </r>
  <r>
    <d v="2024-01-19T00:00:00"/>
    <s v="Drink"/>
    <n v="120"/>
    <n v="0"/>
    <s v="Coffee"/>
    <s v="Dining Out"/>
    <s v="Expense"/>
    <x v="0"/>
  </r>
  <r>
    <d v="2024-01-20T00:00:00"/>
    <s v="Green's"/>
    <n v="3240"/>
    <n v="0"/>
    <s v="Groceries"/>
    <s v="Living Expenses"/>
    <s v="Expense"/>
    <x v="0"/>
  </r>
  <r>
    <d v="2024-01-20T00:00:00"/>
    <s v="Drink"/>
    <n v="120"/>
    <n v="0"/>
    <s v="Coffee"/>
    <s v="Dining Out"/>
    <s v="Expense"/>
    <x v="0"/>
  </r>
  <r>
    <d v="2024-01-21T00:00:00"/>
    <s v="Drink"/>
    <n v="120"/>
    <n v="0"/>
    <s v="Coffee"/>
    <s v="Dining Out"/>
    <s v="Expense"/>
    <x v="0"/>
  </r>
  <r>
    <d v="2024-01-21T00:00:00"/>
    <s v="Cinemas"/>
    <n v="960"/>
    <n v="0"/>
    <s v="Entertainment"/>
    <s v="Discretionary"/>
    <s v="Expense"/>
    <x v="0"/>
  </r>
  <r>
    <d v="2024-01-21T00:00:00"/>
    <s v="Zara Clothes"/>
    <n v="2352"/>
    <n v="0"/>
    <s v="Clothes"/>
    <s v="Discretionary"/>
    <s v="Expense"/>
    <x v="0"/>
  </r>
  <r>
    <d v="2024-01-21T00:00:00"/>
    <s v="Swiggy"/>
    <n v="1248"/>
    <n v="0"/>
    <s v="Restaurant"/>
    <s v="Dining Out"/>
    <s v="Expense"/>
    <x v="0"/>
  </r>
  <r>
    <d v="2024-01-22T00:00:00"/>
    <s v="Ola"/>
    <n v="672"/>
    <n v="0"/>
    <s v="Taxi"/>
    <s v="Transport"/>
    <s v="Expense"/>
    <x v="0"/>
  </r>
  <r>
    <d v="2024-01-23T00:00:00"/>
    <s v="Onlne earning"/>
    <n v="0"/>
    <n v="108000"/>
    <s v="YouTube"/>
    <s v="Passive"/>
    <s v="Income"/>
    <x v="0"/>
  </r>
  <r>
    <d v="2024-01-23T00:00:00"/>
    <s v="Drink"/>
    <n v="120"/>
    <n v="0"/>
    <s v="Coffee"/>
    <s v="Dining Out"/>
    <s v="Expense"/>
    <x v="0"/>
  </r>
  <r>
    <d v="2024-01-24T00:00:00"/>
    <s v="Drink"/>
    <n v="120"/>
    <n v="0"/>
    <s v="Coffee"/>
    <s v="Dining Out"/>
    <s v="Expense"/>
    <x v="0"/>
  </r>
  <r>
    <d v="2024-01-24T00:00:00"/>
    <s v="Onlne earning"/>
    <n v="0"/>
    <n v="108000"/>
    <s v="Teachable"/>
    <s v="Passive"/>
    <s v="Income"/>
    <x v="0"/>
  </r>
  <r>
    <d v="2024-01-24T00:00:00"/>
    <s v="Phone"/>
    <n v="960"/>
    <n v="0"/>
    <s v="Phone"/>
    <s v="Living Expenses"/>
    <s v="Expense"/>
    <x v="0"/>
  </r>
  <r>
    <d v="2024-01-25T00:00:00"/>
    <s v="Family and Friends surprises"/>
    <n v="1080"/>
    <n v="0"/>
    <s v="Gifts"/>
    <s v="Discretionary"/>
    <s v="Expense"/>
    <x v="0"/>
  </r>
  <r>
    <d v="2024-01-25T00:00:00"/>
    <s v="Online streaming"/>
    <n v="768"/>
    <n v="0"/>
    <s v="Entertainment"/>
    <s v="Discretionary"/>
    <s v="Expense"/>
    <x v="0"/>
  </r>
  <r>
    <d v="2024-01-25T00:00:00"/>
    <s v="Drink"/>
    <n v="120"/>
    <n v="0"/>
    <s v="Coffee"/>
    <s v="Dining Out"/>
    <s v="Expense"/>
    <x v="0"/>
  </r>
  <r>
    <d v="2024-01-26T00:00:00"/>
    <s v="Drink"/>
    <n v="120"/>
    <n v="0"/>
    <s v="Coffee"/>
    <s v="Dining Out"/>
    <s v="Expense"/>
    <x v="0"/>
  </r>
  <r>
    <d v="2024-01-27T00:00:00"/>
    <s v="Drink"/>
    <n v="120"/>
    <n v="0"/>
    <s v="Coffee"/>
    <s v="Dining Out"/>
    <s v="Expense"/>
    <x v="0"/>
  </r>
  <r>
    <d v="2024-01-27T00:00:00"/>
    <s v="Green's"/>
    <n v="4080"/>
    <n v="0"/>
    <s v="Groceries"/>
    <s v="Living Expenses"/>
    <s v="Expense"/>
    <x v="0"/>
  </r>
  <r>
    <d v="2024-01-28T00:00:00"/>
    <s v="Office Lunch"/>
    <n v="888"/>
    <n v="0"/>
    <s v="Restaurant"/>
    <s v="Dining Out"/>
    <s v="Expense"/>
    <x v="0"/>
  </r>
  <r>
    <d v="2024-01-29T00:00:00"/>
    <s v="Evening snacks"/>
    <n v="288"/>
    <n v="0"/>
    <s v="Restaurant"/>
    <s v="Dining Out"/>
    <s v="Expense"/>
    <x v="0"/>
  </r>
  <r>
    <d v="2024-01-30T00:00:00"/>
    <s v="Orphanage"/>
    <n v="1320"/>
    <n v="0"/>
    <s v="Donation"/>
    <s v="Charity"/>
    <s v="Expense"/>
    <x v="0"/>
  </r>
  <r>
    <d v="2024-01-30T00:00:00"/>
    <s v="Fuel"/>
    <n v="1512"/>
    <n v="0"/>
    <s v="Fueling"/>
    <s v="Transport"/>
    <s v="Expense"/>
    <x v="0"/>
  </r>
  <r>
    <d v="2024-01-30T00:00:00"/>
    <s v="Drink"/>
    <n v="120"/>
    <n v="0"/>
    <s v="Coffee"/>
    <s v="Dining Out"/>
    <s v="Expense"/>
    <x v="0"/>
  </r>
  <r>
    <d v="2024-01-31T00:00:00"/>
    <s v="Drink"/>
    <n v="120"/>
    <n v="0"/>
    <s v="Coffee"/>
    <s v="Dining Out"/>
    <s v="Expense"/>
    <x v="0"/>
  </r>
  <r>
    <d v="2024-02-01T00:00:00"/>
    <s v="Drink"/>
    <n v="120"/>
    <n v="0"/>
    <s v="Coffee"/>
    <s v="Dining Out"/>
    <s v="Expense"/>
    <x v="1"/>
  </r>
  <r>
    <d v="2024-02-02T00:00:00"/>
    <s v="Drink"/>
    <n v="120"/>
    <n v="0"/>
    <s v="Coffee"/>
    <s v="Dining Out"/>
    <s v="Expense"/>
    <x v="1"/>
  </r>
  <r>
    <d v="2024-02-03T00:00:00"/>
    <s v="Drink"/>
    <n v="120"/>
    <n v="0"/>
    <s v="Coffee"/>
    <s v="Dining Out"/>
    <s v="Expense"/>
    <x v="1"/>
  </r>
  <r>
    <d v="2024-02-03T00:00:00"/>
    <s v="Green's"/>
    <n v="3888"/>
    <n v="0"/>
    <s v="Groceries"/>
    <s v="Living Expenses"/>
    <s v="Expense"/>
    <x v="1"/>
  </r>
  <r>
    <d v="2024-02-04T00:00:00"/>
    <s v="Trainers"/>
    <n v="3000"/>
    <n v="0"/>
    <s v="Clothes"/>
    <s v="Discretionary"/>
    <s v="Expense"/>
    <x v="1"/>
  </r>
  <r>
    <d v="2024-02-04T00:00:00"/>
    <s v="Hangingout/Ticket"/>
    <n v="4200"/>
    <n v="0"/>
    <s v="Entertainment"/>
    <s v="Discretionary"/>
    <s v="Expense"/>
    <x v="1"/>
  </r>
  <r>
    <d v="2024-02-05T00:00:00"/>
    <s v="Zara Clothes"/>
    <n v="3480"/>
    <n v="0"/>
    <s v="Clothes"/>
    <s v="Discretionary"/>
    <s v="Expense"/>
    <x v="1"/>
  </r>
  <r>
    <d v="2024-02-05T00:00:00"/>
    <s v="Ola"/>
    <n v="552"/>
    <n v="0"/>
    <s v="Taxi"/>
    <s v="Transport"/>
    <s v="Expense"/>
    <x v="1"/>
  </r>
  <r>
    <d v="2024-02-06T00:00:00"/>
    <s v="Nextleap DAF"/>
    <n v="0"/>
    <n v="120000"/>
    <s v="Data with Decision"/>
    <s v="Salary"/>
    <s v="Income"/>
    <x v="1"/>
  </r>
  <r>
    <d v="2024-02-06T00:00:00"/>
    <s v="Drink"/>
    <n v="120"/>
    <n v="0"/>
    <s v="Coffee"/>
    <s v="Dining Out"/>
    <s v="Expense"/>
    <x v="1"/>
  </r>
  <r>
    <d v="2024-02-07T00:00:00"/>
    <s v="Flat Expenses"/>
    <n v="21600"/>
    <n v="0"/>
    <s v="Rent"/>
    <s v="Living Expenses"/>
    <s v="Expense"/>
    <x v="1"/>
  </r>
  <r>
    <d v="2024-02-07T00:00:00"/>
    <s v="EMI"/>
    <n v="3600"/>
    <n v="0"/>
    <s v="Cash loan"/>
    <s v="Transport"/>
    <s v="Expense"/>
    <x v="1"/>
  </r>
  <r>
    <d v="2024-02-07T00:00:00"/>
    <s v="Drink"/>
    <n v="120"/>
    <n v="0"/>
    <s v="Coffee"/>
    <s v="Dining Out"/>
    <s v="Expense"/>
    <x v="1"/>
  </r>
  <r>
    <d v="2024-02-08T00:00:00"/>
    <s v="Drink"/>
    <n v="120"/>
    <n v="0"/>
    <s v="Coffee"/>
    <s v="Dining Out"/>
    <s v="Expense"/>
    <x v="1"/>
  </r>
  <r>
    <d v="2024-02-09T00:00:00"/>
    <s v="Drink"/>
    <n v="120"/>
    <n v="0"/>
    <s v="Coffee"/>
    <s v="Dining Out"/>
    <s v="Expense"/>
    <x v="1"/>
  </r>
  <r>
    <d v="2024-02-10T00:00:00"/>
    <s v="Drink"/>
    <n v="120"/>
    <n v="0"/>
    <s v="Coffee"/>
    <s v="Dining Out"/>
    <s v="Expense"/>
    <x v="1"/>
  </r>
  <r>
    <d v="2024-02-10T00:00:00"/>
    <s v="Green's"/>
    <n v="4920"/>
    <n v="0"/>
    <s v="Groceries"/>
    <s v="Living Expenses"/>
    <s v="Expense"/>
    <x v="1"/>
  </r>
  <r>
    <d v="2024-02-13T00:00:00"/>
    <s v="Power source"/>
    <n v="1226.4000000000001"/>
    <n v="0"/>
    <s v="Gas/Electrics"/>
    <s v="Living Expenses"/>
    <s v="Expense"/>
    <x v="1"/>
  </r>
  <r>
    <d v="2024-02-13T00:00:00"/>
    <s v="Drink"/>
    <n v="120"/>
    <n v="0"/>
    <s v="Coffee"/>
    <s v="Dining Out"/>
    <s v="Expense"/>
    <x v="1"/>
  </r>
  <r>
    <d v="2024-02-14T00:00:00"/>
    <s v="Drink"/>
    <n v="120"/>
    <n v="0"/>
    <s v="Coffee"/>
    <s v="Dining Out"/>
    <s v="Expense"/>
    <x v="1"/>
  </r>
  <r>
    <d v="2024-02-15T00:00:00"/>
    <s v="Fuel"/>
    <n v="1872"/>
    <n v="0"/>
    <s v="Fueling"/>
    <s v="Transport"/>
    <s v="Expense"/>
    <x v="1"/>
  </r>
  <r>
    <d v="2024-02-15T00:00:00"/>
    <s v="Drink"/>
    <n v="120"/>
    <n v="0"/>
    <s v="Coffee"/>
    <s v="Dining Out"/>
    <s v="Expense"/>
    <x v="1"/>
  </r>
  <r>
    <d v="2024-02-16T00:00:00"/>
    <s v="Drink"/>
    <n v="120"/>
    <n v="0"/>
    <s v="Coffee"/>
    <s v="Dining Out"/>
    <s v="Expense"/>
    <x v="1"/>
  </r>
  <r>
    <d v="2024-02-17T00:00:00"/>
    <s v="Green's"/>
    <n v="3261.6"/>
    <n v="0"/>
    <s v="Groceries"/>
    <s v="Living Expenses"/>
    <s v="Expense"/>
    <x v="1"/>
  </r>
  <r>
    <d v="2024-02-17T00:00:00"/>
    <s v="Drink"/>
    <n v="120"/>
    <n v="0"/>
    <s v="Coffee"/>
    <s v="Dining Out"/>
    <s v="Expense"/>
    <x v="1"/>
  </r>
  <r>
    <d v="2024-02-18T00:00:00"/>
    <s v="Drink"/>
    <n v="120"/>
    <n v="0"/>
    <s v="Coffee"/>
    <s v="Dining Out"/>
    <s v="Expense"/>
    <x v="1"/>
  </r>
  <r>
    <d v="2024-02-18T00:00:00"/>
    <s v="Cinemas"/>
    <n v="981.6"/>
    <n v="0"/>
    <s v="Entertainment"/>
    <s v="Discretionary"/>
    <s v="Expense"/>
    <x v="1"/>
  </r>
  <r>
    <d v="2024-02-18T00:00:00"/>
    <s v="Myntra Accesories"/>
    <n v="2376"/>
    <n v="0"/>
    <s v="Clothes"/>
    <s v="Discretionary"/>
    <s v="Expense"/>
    <x v="1"/>
  </r>
  <r>
    <d v="2024-02-18T00:00:00"/>
    <s v="Swiggy"/>
    <n v="1272"/>
    <n v="0"/>
    <s v="Restaurant"/>
    <s v="Dining Out"/>
    <s v="Expense"/>
    <x v="1"/>
  </r>
  <r>
    <d v="2024-02-19T00:00:00"/>
    <s v="Ola"/>
    <n v="693.6"/>
    <n v="0"/>
    <s v="Taxi"/>
    <s v="Transport"/>
    <s v="Expense"/>
    <x v="1"/>
  </r>
  <r>
    <d v="2024-02-20T00:00:00"/>
    <s v="Onlne earning"/>
    <n v="0"/>
    <n v="19200"/>
    <s v="YouTube"/>
    <s v="Passive"/>
    <s v="Income"/>
    <x v="1"/>
  </r>
  <r>
    <d v="2024-02-20T00:00:00"/>
    <s v="Drink"/>
    <n v="120"/>
    <n v="0"/>
    <s v="Coffee"/>
    <s v="Dining Out"/>
    <s v="Expense"/>
    <x v="1"/>
  </r>
  <r>
    <d v="2024-02-21T00:00:00"/>
    <s v="Drink"/>
    <n v="120"/>
    <n v="0"/>
    <s v="Coffee"/>
    <s v="Dining Out"/>
    <s v="Expense"/>
    <x v="1"/>
  </r>
  <r>
    <d v="2024-02-21T00:00:00"/>
    <s v="Phone"/>
    <n v="960"/>
    <n v="0"/>
    <s v="Phone"/>
    <s v="Living Expenses"/>
    <s v="Expense"/>
    <x v="1"/>
  </r>
  <r>
    <d v="2024-02-22T00:00:00"/>
    <s v="Family and Friends surprises"/>
    <n v="1101.5999999999999"/>
    <n v="0"/>
    <s v="Gifts"/>
    <s v="Discretionary"/>
    <s v="Expense"/>
    <x v="1"/>
  </r>
  <r>
    <d v="2024-02-22T00:00:00"/>
    <s v="Online streaming"/>
    <n v="840"/>
    <n v="0"/>
    <s v="Entertainment"/>
    <s v="Discretionary"/>
    <s v="Expense"/>
    <x v="1"/>
  </r>
  <r>
    <d v="2024-02-22T00:00:00"/>
    <s v="Drink"/>
    <n v="120"/>
    <n v="0"/>
    <s v="Coffee"/>
    <s v="Dining Out"/>
    <s v="Expense"/>
    <x v="1"/>
  </r>
  <r>
    <d v="2024-02-23T00:00:00"/>
    <s v="Drink"/>
    <n v="120"/>
    <n v="0"/>
    <s v="Coffee"/>
    <s v="Dining Out"/>
    <s v="Expense"/>
    <x v="1"/>
  </r>
  <r>
    <d v="2024-02-24T00:00:00"/>
    <s v="Drink"/>
    <n v="120"/>
    <n v="0"/>
    <s v="Coffee"/>
    <s v="Dining Out"/>
    <s v="Expense"/>
    <x v="1"/>
  </r>
  <r>
    <d v="2024-02-24T00:00:00"/>
    <s v="Green's"/>
    <n v="4104"/>
    <n v="0"/>
    <s v="Groceries"/>
    <s v="Living Expenses"/>
    <s v="Expense"/>
    <x v="1"/>
  </r>
  <r>
    <d v="2024-02-25T00:00:00"/>
    <s v="Office Lunch"/>
    <n v="909.6"/>
    <n v="0"/>
    <s v="Restaurant"/>
    <s v="Dining Out"/>
    <s v="Expense"/>
    <x v="1"/>
  </r>
  <r>
    <d v="2024-02-26T00:00:00"/>
    <s v="Evening snacks"/>
    <n v="309.60000000000002"/>
    <n v="0"/>
    <s v="Restaurant"/>
    <s v="Dining Out"/>
    <s v="Expense"/>
    <x v="1"/>
  </r>
  <r>
    <d v="2024-02-27T00:00:00"/>
    <s v="Orphanage"/>
    <n v="1320"/>
    <n v="0"/>
    <s v="Donation"/>
    <s v="Charity"/>
    <s v="Expense"/>
    <x v="1"/>
  </r>
  <r>
    <d v="2024-02-27T00:00:00"/>
    <s v="Fuel"/>
    <n v="1538.4"/>
    <n v="0"/>
    <s v="Fueling"/>
    <s v="Transport"/>
    <s v="Expense"/>
    <x v="1"/>
  </r>
  <r>
    <d v="2024-02-27T00:00:00"/>
    <s v="Drink"/>
    <n v="120"/>
    <n v="0"/>
    <s v="Coffee"/>
    <s v="Dining Out"/>
    <s v="Expense"/>
    <x v="1"/>
  </r>
  <r>
    <d v="2024-02-28T00:00:00"/>
    <s v="Drink"/>
    <n v="120"/>
    <n v="0"/>
    <s v="Coffee"/>
    <s v="Dining Out"/>
    <s v="Expense"/>
    <x v="1"/>
  </r>
  <r>
    <d v="2024-02-29T00:00:00"/>
    <s v="Drink"/>
    <n v="120"/>
    <n v="0"/>
    <s v="Coffee"/>
    <s v="Dining Out"/>
    <s v="Expense"/>
    <x v="1"/>
  </r>
  <r>
    <d v="2024-03-01T00:00:00"/>
    <s v="Drink"/>
    <n v="120"/>
    <n v="0"/>
    <s v="Coffee"/>
    <s v="Dining Out"/>
    <s v="Expense"/>
    <x v="2"/>
  </r>
  <r>
    <d v="2024-03-02T00:00:00"/>
    <s v="Drink"/>
    <n v="120"/>
    <n v="0"/>
    <s v="Coffee"/>
    <s v="Dining Out"/>
    <s v="Expense"/>
    <x v="2"/>
  </r>
  <r>
    <d v="2024-03-02T00:00:00"/>
    <s v="Green's"/>
    <n v="3909.6"/>
    <n v="0"/>
    <s v="Groceries"/>
    <s v="Living Expenses"/>
    <s v="Expense"/>
    <x v="2"/>
  </r>
  <r>
    <d v="2024-03-03T00:00:00"/>
    <s v="Trainers"/>
    <n v="3021.6"/>
    <n v="0"/>
    <s v="Clothes"/>
    <s v="Discretionary"/>
    <s v="Expense"/>
    <x v="2"/>
  </r>
  <r>
    <d v="2024-03-03T00:00:00"/>
    <s v="Global Fashion"/>
    <n v="3288"/>
    <n v="0"/>
    <s v="Clothes"/>
    <s v="Discretionary"/>
    <s v="Expense"/>
    <x v="2"/>
  </r>
  <r>
    <d v="2024-03-04T00:00:00"/>
    <s v="Zara Clothes"/>
    <n v="3506.4"/>
    <n v="0"/>
    <s v="Clothes"/>
    <s v="Discretionary"/>
    <s v="Expense"/>
    <x v="2"/>
  </r>
  <r>
    <d v="2024-03-04T00:00:00"/>
    <s v="Ola"/>
    <n v="578.4"/>
    <n v="0"/>
    <s v="Taxi"/>
    <s v="Transport"/>
    <s v="Expense"/>
    <x v="2"/>
  </r>
  <r>
    <d v="2024-03-05T00:00:00"/>
    <s v="Nextleap DAF"/>
    <n v="0"/>
    <n v="120000"/>
    <s v="Data with Decision"/>
    <s v="Salary"/>
    <s v="Income"/>
    <x v="2"/>
  </r>
  <r>
    <d v="2024-03-05T00:00:00"/>
    <s v="Drink"/>
    <n v="120"/>
    <n v="0"/>
    <s v="Coffee"/>
    <s v="Dining Out"/>
    <s v="Expense"/>
    <x v="2"/>
  </r>
  <r>
    <d v="2024-03-06T00:00:00"/>
    <s v="Flat Expenses"/>
    <n v="21600"/>
    <n v="0"/>
    <s v="Rent"/>
    <s v="Living Expenses"/>
    <s v="Expense"/>
    <x v="2"/>
  </r>
  <r>
    <d v="2024-03-06T00:00:00"/>
    <s v="EMI"/>
    <n v="3600"/>
    <n v="0"/>
    <s v="Cash loan"/>
    <s v="Transport"/>
    <s v="Expense"/>
    <x v="2"/>
  </r>
  <r>
    <d v="2024-03-06T00:00:00"/>
    <s v="Drink"/>
    <n v="120"/>
    <n v="0"/>
    <s v="Coffee"/>
    <s v="Dining Out"/>
    <s v="Expense"/>
    <x v="2"/>
  </r>
  <r>
    <d v="2024-03-07T00:00:00"/>
    <s v="Drink"/>
    <n v="120"/>
    <n v="0"/>
    <s v="Coffee"/>
    <s v="Dining Out"/>
    <s v="Expense"/>
    <x v="2"/>
  </r>
  <r>
    <d v="2024-03-08T00:00:00"/>
    <s v="Drink"/>
    <n v="120"/>
    <n v="0"/>
    <s v="Coffee"/>
    <s v="Dining Out"/>
    <s v="Expense"/>
    <x v="2"/>
  </r>
  <r>
    <d v="2024-03-09T00:00:00"/>
    <s v="Drink"/>
    <n v="120"/>
    <n v="0"/>
    <s v="Coffee"/>
    <s v="Dining Out"/>
    <s v="Expense"/>
    <x v="2"/>
  </r>
  <r>
    <d v="2024-03-09T00:00:00"/>
    <s v="Green's"/>
    <n v="3576"/>
    <n v="0"/>
    <s v="Groceries"/>
    <s v="Living Expenses"/>
    <s v="Expense"/>
    <x v="2"/>
  </r>
  <r>
    <d v="2024-03-12T00:00:00"/>
    <s v="Power source"/>
    <n v="1250.4000000000001"/>
    <n v="0"/>
    <s v="Gas/Electrics"/>
    <s v="Living Expenses"/>
    <s v="Expense"/>
    <x v="2"/>
  </r>
  <r>
    <d v="2024-03-12T00:00:00"/>
    <s v="Drink"/>
    <n v="120"/>
    <n v="0"/>
    <s v="Coffee"/>
    <s v="Dining Out"/>
    <s v="Expense"/>
    <x v="2"/>
  </r>
  <r>
    <d v="2024-03-13T00:00:00"/>
    <s v="Drink"/>
    <n v="120"/>
    <n v="0"/>
    <s v="Coffee"/>
    <s v="Dining Out"/>
    <s v="Expense"/>
    <x v="2"/>
  </r>
  <r>
    <d v="2024-03-14T00:00:00"/>
    <s v="Fuel"/>
    <n v="1893.6"/>
    <n v="0"/>
    <s v="Fueling"/>
    <s v="Transport"/>
    <s v="Expense"/>
    <x v="2"/>
  </r>
  <r>
    <d v="2024-03-14T00:00:00"/>
    <s v="Drink"/>
    <n v="120"/>
    <n v="0"/>
    <s v="Coffee"/>
    <s v="Dining Out"/>
    <s v="Expense"/>
    <x v="2"/>
  </r>
  <r>
    <d v="2024-03-15T00:00:00"/>
    <s v="Drink"/>
    <n v="120"/>
    <n v="0"/>
    <s v="Coffee"/>
    <s v="Dining Out"/>
    <s v="Expense"/>
    <x v="2"/>
  </r>
  <r>
    <d v="2024-03-16T00:00:00"/>
    <s v="Green's"/>
    <n v="3288"/>
    <n v="0"/>
    <s v="Groceries"/>
    <s v="Living Expenses"/>
    <s v="Expense"/>
    <x v="2"/>
  </r>
  <r>
    <d v="2024-03-16T00:00:00"/>
    <s v="Drink"/>
    <n v="120"/>
    <n v="0"/>
    <s v="Coffee"/>
    <s v="Dining Out"/>
    <s v="Expense"/>
    <x v="2"/>
  </r>
  <r>
    <d v="2024-03-17T00:00:00"/>
    <s v="Drink"/>
    <n v="120"/>
    <n v="0"/>
    <s v="Coffee"/>
    <s v="Dining Out"/>
    <s v="Expense"/>
    <x v="2"/>
  </r>
  <r>
    <d v="2024-03-17T00:00:00"/>
    <s v="Cinemas"/>
    <n v="1003.2"/>
    <n v="0"/>
    <s v="Entertainment"/>
    <s v="Discretionary"/>
    <s v="Expense"/>
    <x v="2"/>
  </r>
  <r>
    <d v="2024-03-17T00:00:00"/>
    <s v="Myntra Accesories"/>
    <n v="2397.6"/>
    <n v="0"/>
    <s v="Clothes"/>
    <s v="Discretionary"/>
    <s v="Expense"/>
    <x v="2"/>
  </r>
  <r>
    <d v="2024-03-17T00:00:00"/>
    <s v="Swiggy"/>
    <n v="1296"/>
    <n v="0"/>
    <s v="Restaurant"/>
    <s v="Dining Out"/>
    <s v="Expense"/>
    <x v="2"/>
  </r>
  <r>
    <d v="2024-03-18T00:00:00"/>
    <s v="Ola"/>
    <n v="720"/>
    <n v="0"/>
    <s v="Taxi"/>
    <s v="Transport"/>
    <s v="Expense"/>
    <x v="2"/>
  </r>
  <r>
    <d v="2024-03-19T00:00:00"/>
    <s v="Onlne earning"/>
    <n v="0"/>
    <n v="24000"/>
    <s v="YouTube"/>
    <s v="Passive"/>
    <s v="Income"/>
    <x v="2"/>
  </r>
  <r>
    <d v="2024-03-19T00:00:00"/>
    <s v="Drink"/>
    <n v="120"/>
    <n v="0"/>
    <s v="Coffee"/>
    <s v="Dining Out"/>
    <s v="Expense"/>
    <x v="2"/>
  </r>
  <r>
    <d v="2024-03-20T00:00:00"/>
    <s v="Drink"/>
    <n v="120"/>
    <n v="0"/>
    <s v="Coffee"/>
    <s v="Dining Out"/>
    <s v="Expense"/>
    <x v="2"/>
  </r>
  <r>
    <d v="2024-03-20T00:00:00"/>
    <s v="Taken medication"/>
    <n v="1800"/>
    <n v="0"/>
    <s v="Doctor"/>
    <s v="Medical"/>
    <s v="Expense"/>
    <x v="2"/>
  </r>
  <r>
    <d v="2024-03-20T00:00:00"/>
    <s v="Phone"/>
    <n v="960"/>
    <n v="0"/>
    <s v="Phone"/>
    <s v="Living Expenses"/>
    <s v="Expense"/>
    <x v="2"/>
  </r>
  <r>
    <d v="2024-03-21T00:00:00"/>
    <s v="Family and Friends surprises"/>
    <n v="1123.2"/>
    <n v="0"/>
    <s v="Gifts"/>
    <s v="Discretionary"/>
    <s v="Expense"/>
    <x v="2"/>
  </r>
  <r>
    <d v="2024-03-21T00:00:00"/>
    <s v="Online streaming"/>
    <n v="840"/>
    <n v="0"/>
    <s v="Entertainment"/>
    <s v="Discretionary"/>
    <s v="Expense"/>
    <x v="2"/>
  </r>
  <r>
    <d v="2024-03-21T00:00:00"/>
    <s v="Drink"/>
    <n v="120"/>
    <n v="0"/>
    <s v="Coffee"/>
    <s v="Dining Out"/>
    <s v="Expense"/>
    <x v="2"/>
  </r>
  <r>
    <d v="2024-03-22T00:00:00"/>
    <s v="Drink"/>
    <n v="120"/>
    <n v="0"/>
    <s v="Coffee"/>
    <s v="Dining Out"/>
    <s v="Expense"/>
    <x v="2"/>
  </r>
  <r>
    <d v="2024-03-23T00:00:00"/>
    <s v="Drink"/>
    <n v="120"/>
    <n v="0"/>
    <s v="Coffee"/>
    <s v="Dining Out"/>
    <s v="Expense"/>
    <x v="2"/>
  </r>
  <r>
    <d v="2024-03-23T00:00:00"/>
    <s v="Green's"/>
    <n v="4125.6000000000004"/>
    <n v="0"/>
    <s v="Groceries"/>
    <s v="Living Expenses"/>
    <s v="Expense"/>
    <x v="2"/>
  </r>
  <r>
    <d v="2024-03-24T00:00:00"/>
    <s v="Office Lunch"/>
    <n v="936"/>
    <n v="0"/>
    <s v="Restaurant"/>
    <s v="Dining Out"/>
    <s v="Expense"/>
    <x v="2"/>
  </r>
  <r>
    <d v="2024-03-25T00:00:00"/>
    <s v="Evening snacks"/>
    <n v="336"/>
    <n v="0"/>
    <s v="Restaurant"/>
    <s v="Dining Out"/>
    <s v="Expense"/>
    <x v="2"/>
  </r>
  <r>
    <d v="2024-03-26T00:00:00"/>
    <s v="Orphanage"/>
    <n v="1320"/>
    <n v="0"/>
    <s v="Donation"/>
    <s v="Charity"/>
    <s v="Expense"/>
    <x v="2"/>
  </r>
  <r>
    <d v="2024-03-26T00:00:00"/>
    <s v="Fuel"/>
    <n v="1560"/>
    <n v="0"/>
    <s v="Fueling"/>
    <s v="Transport"/>
    <s v="Expense"/>
    <x v="2"/>
  </r>
  <r>
    <d v="2024-03-26T00:00:00"/>
    <s v="Drink"/>
    <n v="120"/>
    <n v="0"/>
    <s v="Coffee"/>
    <s v="Dining Out"/>
    <s v="Expense"/>
    <x v="2"/>
  </r>
  <r>
    <d v="2024-03-27T00:00:00"/>
    <s v="Drink"/>
    <n v="120"/>
    <n v="0"/>
    <s v="Coffee"/>
    <s v="Dining Out"/>
    <s v="Expense"/>
    <x v="2"/>
  </r>
  <r>
    <d v="2024-03-28T00:00:00"/>
    <s v="Drink"/>
    <n v="120"/>
    <n v="0"/>
    <s v="Coffee"/>
    <s v="Dining Out"/>
    <s v="Expense"/>
    <x v="2"/>
  </r>
  <r>
    <d v="2024-03-29T00:00:00"/>
    <s v="Drink"/>
    <n v="120"/>
    <n v="0"/>
    <s v="Coffee"/>
    <s v="Dining Out"/>
    <s v="Expense"/>
    <x v="2"/>
  </r>
  <r>
    <d v="2024-03-30T00:00:00"/>
    <s v="Drink"/>
    <n v="120"/>
    <n v="0"/>
    <s v="Coffee"/>
    <s v="Dining Out"/>
    <s v="Expense"/>
    <x v="2"/>
  </r>
  <r>
    <d v="2024-03-30T00:00:00"/>
    <s v="Green's"/>
    <n v="5016"/>
    <n v="0"/>
    <s v="Groceries"/>
    <s v="Living Expenses"/>
    <s v="Expense"/>
    <x v="2"/>
  </r>
  <r>
    <d v="2024-03-31T00:00:00"/>
    <s v="Trainers"/>
    <n v="3048"/>
    <n v="0"/>
    <s v="Clothes"/>
    <s v="Discretionary"/>
    <s v="Expense"/>
    <x v="2"/>
  </r>
  <r>
    <d v="2024-03-31T00:00:00"/>
    <s v="Decathlon"/>
    <n v="4252.8"/>
    <n v="0"/>
    <s v="Clothes"/>
    <s v="Discretionary"/>
    <s v="Expense"/>
    <x v="2"/>
  </r>
  <r>
    <d v="2024-04-01T00:00:00"/>
    <s v="Zara Clothes"/>
    <n v="3530.4"/>
    <n v="0"/>
    <s v="Clothes"/>
    <s v="Discretionary"/>
    <s v="Expense"/>
    <x v="3"/>
  </r>
  <r>
    <d v="2024-04-01T00:00:00"/>
    <s v="Ola"/>
    <n v="600"/>
    <n v="0"/>
    <s v="Taxi"/>
    <s v="Transport"/>
    <s v="Expense"/>
    <x v="3"/>
  </r>
  <r>
    <d v="2024-04-02T00:00:00"/>
    <s v="Foodary"/>
    <n v="360"/>
    <n v="0"/>
    <s v="Restaurant"/>
    <s v="Dining Out"/>
    <s v="Expense"/>
    <x v="3"/>
  </r>
  <r>
    <d v="2024-04-03T00:00:00"/>
    <s v="Drink"/>
    <n v="120"/>
    <n v="0"/>
    <s v="Coffee"/>
    <s v="Dining Out"/>
    <s v="Expense"/>
    <x v="3"/>
  </r>
  <r>
    <d v="2024-04-04T00:00:00"/>
    <s v="Drink"/>
    <n v="120"/>
    <n v="0"/>
    <s v="Coffee"/>
    <s v="Dining Out"/>
    <s v="Expense"/>
    <x v="3"/>
  </r>
  <r>
    <d v="2024-04-05T00:00:00"/>
    <s v="Nextleap DAF"/>
    <n v="0"/>
    <n v="120000"/>
    <s v="Data with Decision"/>
    <s v="Salary"/>
    <s v="Income"/>
    <x v="3"/>
  </r>
  <r>
    <d v="2024-04-05T00:00:00"/>
    <s v="Drink"/>
    <n v="120"/>
    <n v="0"/>
    <s v="Coffee"/>
    <s v="Dining Out"/>
    <s v="Expense"/>
    <x v="3"/>
  </r>
  <r>
    <d v="2024-04-06T00:00:00"/>
    <s v="Flat Expenses"/>
    <n v="21600"/>
    <n v="0"/>
    <s v="Rent"/>
    <s v="Living Expenses"/>
    <s v="Expense"/>
    <x v="3"/>
  </r>
  <r>
    <d v="2024-04-06T00:00:00"/>
    <s v="EMI"/>
    <n v="3600"/>
    <n v="0"/>
    <s v="Cash loan"/>
    <s v="Transport"/>
    <s v="Expense"/>
    <x v="3"/>
  </r>
  <r>
    <d v="2024-04-06T00:00:00"/>
    <s v="Drink"/>
    <n v="120"/>
    <n v="0"/>
    <s v="Coffee"/>
    <s v="Dining Out"/>
    <s v="Expense"/>
    <x v="3"/>
  </r>
  <r>
    <d v="2024-04-07T00:00:00"/>
    <s v="Drink"/>
    <n v="120"/>
    <n v="0"/>
    <s v="Coffee"/>
    <s v="Dining Out"/>
    <s v="Expense"/>
    <x v="3"/>
  </r>
  <r>
    <d v="2024-04-08T00:00:00"/>
    <s v="Drink"/>
    <n v="120"/>
    <n v="0"/>
    <s v="Coffee"/>
    <s v="Dining Out"/>
    <s v="Expense"/>
    <x v="3"/>
  </r>
  <r>
    <d v="2024-04-09T00:00:00"/>
    <s v="Drink"/>
    <n v="120"/>
    <n v="0"/>
    <s v="Coffee"/>
    <s v="Dining Out"/>
    <s v="Expense"/>
    <x v="3"/>
  </r>
  <r>
    <d v="2024-04-09T00:00:00"/>
    <s v="Green's"/>
    <n v="3796.8"/>
    <n v="0"/>
    <s v="Groceries"/>
    <s v="Living Expenses"/>
    <s v="Expense"/>
    <x v="3"/>
  </r>
  <r>
    <d v="2024-04-12T00:00:00"/>
    <s v="Power source"/>
    <n v="1276.8"/>
    <n v="0"/>
    <s v="Gas/Electrics"/>
    <s v="Living Expenses"/>
    <s v="Expense"/>
    <x v="3"/>
  </r>
  <r>
    <d v="2024-04-12T00:00:00"/>
    <s v="Drink"/>
    <n v="120"/>
    <n v="0"/>
    <s v="Coffee"/>
    <s v="Dining Out"/>
    <s v="Expense"/>
    <x v="3"/>
  </r>
  <r>
    <d v="2024-04-13T00:00:00"/>
    <s v="Drink"/>
    <n v="120"/>
    <n v="0"/>
    <s v="Coffee"/>
    <s v="Dining Out"/>
    <s v="Expense"/>
    <x v="3"/>
  </r>
  <r>
    <d v="2024-04-14T00:00:00"/>
    <s v="Fuel"/>
    <n v="1917.6"/>
    <n v="0"/>
    <s v="Fueling"/>
    <s v="Transport"/>
    <s v="Expense"/>
    <x v="3"/>
  </r>
  <r>
    <d v="2024-04-14T00:00:00"/>
    <s v="Drink"/>
    <n v="120"/>
    <n v="0"/>
    <s v="Coffee"/>
    <s v="Dining Out"/>
    <s v="Expense"/>
    <x v="3"/>
  </r>
  <r>
    <d v="2024-04-15T00:00:00"/>
    <s v="Drink"/>
    <n v="120"/>
    <n v="0"/>
    <s v="Coffee"/>
    <s v="Dining Out"/>
    <s v="Expense"/>
    <x v="3"/>
  </r>
  <r>
    <d v="2024-04-16T00:00:00"/>
    <s v="Green's"/>
    <n v="2352"/>
    <n v="0"/>
    <s v="Groceries"/>
    <s v="Living Expenses"/>
    <s v="Expense"/>
    <x v="3"/>
  </r>
  <r>
    <d v="2024-04-16T00:00:00"/>
    <s v="Drink"/>
    <n v="120"/>
    <n v="0"/>
    <s v="Coffee"/>
    <s v="Dining Out"/>
    <s v="Expense"/>
    <x v="3"/>
  </r>
  <r>
    <d v="2024-04-17T00:00:00"/>
    <s v="Drink"/>
    <n v="120"/>
    <n v="0"/>
    <s v="Coffee"/>
    <s v="Dining Out"/>
    <s v="Expense"/>
    <x v="3"/>
  </r>
  <r>
    <d v="2024-04-17T00:00:00"/>
    <s v="Cinemas"/>
    <n v="1027.2"/>
    <n v="0"/>
    <s v="Entertainment"/>
    <s v="Discretionary"/>
    <s v="Expense"/>
    <x v="3"/>
  </r>
  <r>
    <d v="2024-04-17T00:00:00"/>
    <s v="Myntra Accesories"/>
    <n v="2421.6"/>
    <n v="0"/>
    <s v="Clothes"/>
    <s v="Discretionary"/>
    <s v="Expense"/>
    <x v="3"/>
  </r>
  <r>
    <d v="2024-04-17T00:00:00"/>
    <s v="Swiggy"/>
    <n v="1317.6"/>
    <n v="0"/>
    <s v="Restaurant"/>
    <s v="Dining Out"/>
    <s v="Expense"/>
    <x v="3"/>
  </r>
  <r>
    <d v="2024-04-18T00:00:00"/>
    <s v="Ola"/>
    <n v="744"/>
    <n v="0"/>
    <s v="Taxi"/>
    <s v="Transport"/>
    <s v="Expense"/>
    <x v="3"/>
  </r>
  <r>
    <d v="2024-04-19T00:00:00"/>
    <s v="Onlne earning"/>
    <n v="0"/>
    <n v="56160"/>
    <s v="YouTube"/>
    <s v="Passive"/>
    <s v="Income"/>
    <x v="3"/>
  </r>
  <r>
    <d v="2024-04-19T00:00:00"/>
    <s v="Drink"/>
    <n v="120"/>
    <n v="0"/>
    <s v="Coffee"/>
    <s v="Dining Out"/>
    <s v="Expense"/>
    <x v="3"/>
  </r>
  <r>
    <d v="2024-04-20T00:00:00"/>
    <s v="Drink"/>
    <n v="120"/>
    <n v="0"/>
    <s v="Coffee"/>
    <s v="Dining Out"/>
    <s v="Expense"/>
    <x v="3"/>
  </r>
  <r>
    <d v="2024-04-20T00:00:00"/>
    <s v="Phone"/>
    <n v="960"/>
    <n v="0"/>
    <s v="Phone"/>
    <s v="Living Expenses"/>
    <s v="Expense"/>
    <x v="3"/>
  </r>
  <r>
    <d v="2024-04-21T00:00:00"/>
    <s v="Family and Friends surprises"/>
    <n v="1149.5999999999999"/>
    <n v="0"/>
    <s v="Gifts"/>
    <s v="Discretionary"/>
    <s v="Expense"/>
    <x v="3"/>
  </r>
  <r>
    <d v="2024-04-21T00:00:00"/>
    <s v="Online streaming"/>
    <n v="840"/>
    <n v="0"/>
    <s v="Entertainment"/>
    <s v="Discretionary"/>
    <s v="Expense"/>
    <x v="3"/>
  </r>
  <r>
    <d v="2024-04-21T00:00:00"/>
    <s v="Drink"/>
    <n v="120"/>
    <n v="0"/>
    <s v="Coffee"/>
    <s v="Dining Out"/>
    <s v="Expense"/>
    <x v="3"/>
  </r>
  <r>
    <d v="2024-04-22T00:00:00"/>
    <s v="Drink"/>
    <n v="120"/>
    <n v="0"/>
    <s v="Coffee"/>
    <s v="Dining Out"/>
    <s v="Expense"/>
    <x v="3"/>
  </r>
  <r>
    <d v="2024-04-23T00:00:00"/>
    <s v="Drink"/>
    <n v="120"/>
    <n v="0"/>
    <s v="Coffee"/>
    <s v="Dining Out"/>
    <s v="Expense"/>
    <x v="3"/>
  </r>
  <r>
    <d v="2024-04-23T00:00:00"/>
    <s v="Green's"/>
    <n v="4152"/>
    <n v="0"/>
    <s v="Groceries"/>
    <s v="Living Expenses"/>
    <s v="Expense"/>
    <x v="3"/>
  </r>
  <r>
    <d v="2024-04-24T00:00:00"/>
    <s v="Office Lunch"/>
    <n v="962.4"/>
    <n v="0"/>
    <s v="Restaurant"/>
    <s v="Dining Out"/>
    <s v="Expense"/>
    <x v="3"/>
  </r>
  <r>
    <d v="2024-04-25T00:00:00"/>
    <s v="Evening snacks"/>
    <n v="362.4"/>
    <n v="0"/>
    <s v="Restaurant"/>
    <s v="Dining Out"/>
    <s v="Expense"/>
    <x v="3"/>
  </r>
  <r>
    <d v="2024-04-26T00:00:00"/>
    <s v="Orphanage"/>
    <n v="1320"/>
    <n v="0"/>
    <s v="Donation"/>
    <s v="Charity"/>
    <s v="Expense"/>
    <x v="3"/>
  </r>
  <r>
    <d v="2024-04-26T00:00:00"/>
    <s v="Fuel"/>
    <n v="1584"/>
    <n v="0"/>
    <s v="Fueling"/>
    <s v="Transport"/>
    <s v="Expense"/>
    <x v="3"/>
  </r>
  <r>
    <d v="2024-04-26T00:00:00"/>
    <s v="Drink"/>
    <n v="120"/>
    <n v="0"/>
    <s v="Coffee"/>
    <s v="Dining Out"/>
    <s v="Expense"/>
    <x v="3"/>
  </r>
  <r>
    <d v="2024-04-27T00:00:00"/>
    <s v="Drink"/>
    <n v="120"/>
    <n v="0"/>
    <s v="Coffee"/>
    <s v="Dining Out"/>
    <s v="Expense"/>
    <x v="3"/>
  </r>
  <r>
    <d v="2024-04-28T00:00:00"/>
    <s v="Drink"/>
    <n v="120"/>
    <n v="0"/>
    <s v="Coffee"/>
    <s v="Dining Out"/>
    <s v="Expense"/>
    <x v="3"/>
  </r>
  <r>
    <d v="2024-04-29T00:00:00"/>
    <s v="Drink"/>
    <n v="120"/>
    <n v="0"/>
    <s v="Coffee"/>
    <s v="Dining Out"/>
    <s v="Expense"/>
    <x v="3"/>
  </r>
  <r>
    <d v="2024-04-30T00:00:00"/>
    <s v="Drink"/>
    <n v="120"/>
    <n v="0"/>
    <s v="Coffee"/>
    <s v="Dining Out"/>
    <s v="Expense"/>
    <x v="3"/>
  </r>
  <r>
    <d v="2024-04-30T00:00:00"/>
    <s v="Green's"/>
    <n v="3957.6"/>
    <n v="0"/>
    <s v="Groceries"/>
    <s v="Living Expenses"/>
    <s v="Expense"/>
    <x v="3"/>
  </r>
  <r>
    <d v="2024-05-01T00:00:00"/>
    <s v="Trainers"/>
    <n v="3069.6"/>
    <n v="0"/>
    <s v="Clothes"/>
    <s v="Discretionary"/>
    <s v="Expense"/>
    <x v="4"/>
  </r>
  <r>
    <d v="2024-05-01T00:00:00"/>
    <s v="Clubing"/>
    <n v="7200"/>
    <n v="0"/>
    <s v="Entertainment"/>
    <s v="Discretionary"/>
    <s v="Expense"/>
    <x v="4"/>
  </r>
  <r>
    <d v="2024-05-02T00:00:00"/>
    <s v="Zara Clothes"/>
    <n v="3554.4"/>
    <n v="0"/>
    <s v="Clothes"/>
    <s v="Discretionary"/>
    <s v="Expense"/>
    <x v="4"/>
  </r>
  <r>
    <d v="2024-05-02T00:00:00"/>
    <s v="Ola"/>
    <n v="626.4"/>
    <n v="0"/>
    <s v="Taxi"/>
    <s v="Transport"/>
    <s v="Expense"/>
    <x v="4"/>
  </r>
  <r>
    <d v="2024-05-03T00:00:00"/>
    <s v="Foodary"/>
    <n v="360"/>
    <n v="0"/>
    <s v="Restaurant"/>
    <s v="Dining Out"/>
    <s v="Expense"/>
    <x v="4"/>
  </r>
  <r>
    <d v="2024-05-03T00:00:00"/>
    <s v="Drink"/>
    <n v="120"/>
    <n v="0"/>
    <s v="Coffee"/>
    <s v="Dining Out"/>
    <s v="Expense"/>
    <x v="4"/>
  </r>
  <r>
    <d v="2024-05-04T00:00:00"/>
    <s v="Drink"/>
    <n v="120"/>
    <n v="0"/>
    <s v="Coffee"/>
    <s v="Dining Out"/>
    <s v="Expense"/>
    <x v="4"/>
  </r>
  <r>
    <d v="2024-05-06T00:00:00"/>
    <s v="Drink"/>
    <n v="120"/>
    <n v="0"/>
    <s v="Coffee"/>
    <s v="Dining Out"/>
    <s v="Expense"/>
    <x v="4"/>
  </r>
  <r>
    <d v="2024-05-07T00:00:00"/>
    <s v="Nextleap DAF"/>
    <n v="0"/>
    <n v="120000"/>
    <s v="Data with Decision"/>
    <s v="Salary"/>
    <s v="Income"/>
    <x v="4"/>
  </r>
  <r>
    <d v="2024-05-07T00:00:00"/>
    <s v="Flat Expenses"/>
    <n v="21600"/>
    <n v="0"/>
    <s v="Rent"/>
    <s v="Living Expenses"/>
    <s v="Expense"/>
    <x v="4"/>
  </r>
  <r>
    <d v="2024-05-07T00:00:00"/>
    <s v="EMI"/>
    <n v="3600"/>
    <n v="0"/>
    <s v="Cash loan"/>
    <s v="Transport"/>
    <s v="Expense"/>
    <x v="4"/>
  </r>
  <r>
    <d v="2024-05-07T00:00:00"/>
    <s v="Drink"/>
    <n v="120"/>
    <n v="0"/>
    <s v="Coffee"/>
    <s v="Dining Out"/>
    <s v="Expense"/>
    <x v="4"/>
  </r>
  <r>
    <d v="2024-05-08T00:00:00"/>
    <s v="Drink"/>
    <n v="120"/>
    <n v="0"/>
    <s v="Coffee"/>
    <s v="Dining Out"/>
    <s v="Expense"/>
    <x v="4"/>
  </r>
  <r>
    <d v="2024-05-09T00:00:00"/>
    <s v="Drink"/>
    <n v="120"/>
    <n v="0"/>
    <s v="Coffee"/>
    <s v="Dining Out"/>
    <s v="Expense"/>
    <x v="4"/>
  </r>
  <r>
    <d v="2024-05-10T00:00:00"/>
    <s v="Drink"/>
    <n v="120"/>
    <n v="0"/>
    <s v="Coffee"/>
    <s v="Dining Out"/>
    <s v="Expense"/>
    <x v="4"/>
  </r>
  <r>
    <d v="2024-05-10T00:00:00"/>
    <s v="Green's"/>
    <n v="4080"/>
    <n v="0"/>
    <s v="Groceries"/>
    <s v="Living Expenses"/>
    <s v="Expense"/>
    <x v="4"/>
  </r>
  <r>
    <d v="2024-05-13T00:00:00"/>
    <s v="Power source"/>
    <n v="1298.4000000000001"/>
    <n v="0"/>
    <s v="Gas/Electrics"/>
    <s v="Living Expenses"/>
    <s v="Expense"/>
    <x v="4"/>
  </r>
  <r>
    <d v="2024-05-13T00:00:00"/>
    <s v="Drink"/>
    <n v="120"/>
    <n v="0"/>
    <s v="Coffee"/>
    <s v="Dining Out"/>
    <s v="Expense"/>
    <x v="4"/>
  </r>
  <r>
    <d v="2024-05-14T00:00:00"/>
    <s v="Drink"/>
    <n v="120"/>
    <n v="0"/>
    <s v="Coffee"/>
    <s v="Dining Out"/>
    <s v="Expense"/>
    <x v="4"/>
  </r>
  <r>
    <d v="2024-05-15T00:00:00"/>
    <s v="Fuel"/>
    <n v="1944"/>
    <n v="0"/>
    <s v="Fueling"/>
    <s v="Transport"/>
    <s v="Expense"/>
    <x v="4"/>
  </r>
  <r>
    <d v="2024-05-15T00:00:00"/>
    <s v="Drink"/>
    <n v="120"/>
    <n v="0"/>
    <s v="Coffee"/>
    <s v="Dining Out"/>
    <s v="Expense"/>
    <x v="4"/>
  </r>
  <r>
    <d v="2024-05-16T00:00:00"/>
    <s v="Drink"/>
    <n v="120"/>
    <n v="0"/>
    <s v="Coffee"/>
    <s v="Dining Out"/>
    <s v="Expense"/>
    <x v="4"/>
  </r>
  <r>
    <d v="2024-05-17T00:00:00"/>
    <s v="Green's"/>
    <n v="3338.4"/>
    <n v="0"/>
    <s v="Groceries"/>
    <s v="Living Expenses"/>
    <s v="Expense"/>
    <x v="4"/>
  </r>
  <r>
    <d v="2024-05-17T00:00:00"/>
    <s v="Drink"/>
    <n v="120"/>
    <n v="0"/>
    <s v="Coffee"/>
    <s v="Dining Out"/>
    <s v="Expense"/>
    <x v="4"/>
  </r>
  <r>
    <d v="2024-05-18T00:00:00"/>
    <s v="Drink"/>
    <n v="120"/>
    <n v="0"/>
    <s v="Coffee"/>
    <s v="Dining Out"/>
    <s v="Expense"/>
    <x v="4"/>
  </r>
  <r>
    <d v="2024-05-18T00:00:00"/>
    <s v="Cinemas"/>
    <n v="1053.5999999999999"/>
    <n v="0"/>
    <s v="Entertainment"/>
    <s v="Discretionary"/>
    <s v="Expense"/>
    <x v="4"/>
  </r>
  <r>
    <d v="2024-05-18T00:00:00"/>
    <s v="Myntra Accesories"/>
    <n v="2443.1999999999998"/>
    <n v="0"/>
    <s v="Clothes"/>
    <s v="Discretionary"/>
    <s v="Expense"/>
    <x v="4"/>
  </r>
  <r>
    <d v="2024-05-18T00:00:00"/>
    <s v="Swiggy"/>
    <n v="1341.6"/>
    <n v="0"/>
    <s v="Restaurant"/>
    <s v="Dining Out"/>
    <s v="Expense"/>
    <x v="4"/>
  </r>
  <r>
    <d v="2024-05-19T00:00:00"/>
    <s v="Ola"/>
    <n v="768"/>
    <n v="0"/>
    <s v="Taxi"/>
    <s v="Transport"/>
    <s v="Expense"/>
    <x v="4"/>
  </r>
  <r>
    <d v="2024-05-20T00:00:00"/>
    <s v="Onlne earning"/>
    <n v="0"/>
    <n v="24000"/>
    <s v="YouTube"/>
    <s v="Passive"/>
    <s v="Income"/>
    <x v="4"/>
  </r>
  <r>
    <d v="2024-05-20T00:00:00"/>
    <s v="Drink"/>
    <n v="120"/>
    <n v="0"/>
    <s v="Coffee"/>
    <s v="Dining Out"/>
    <s v="Expense"/>
    <x v="4"/>
  </r>
  <r>
    <d v="2024-05-21T00:00:00"/>
    <s v="Drink"/>
    <n v="120"/>
    <n v="0"/>
    <s v="Coffee"/>
    <s v="Dining Out"/>
    <s v="Expense"/>
    <x v="4"/>
  </r>
  <r>
    <d v="2024-05-21T00:00:00"/>
    <s v="Taken medication"/>
    <n v="1800"/>
    <n v="0"/>
    <s v="Doctor"/>
    <s v="Medical"/>
    <s v="Expense"/>
    <x v="4"/>
  </r>
  <r>
    <d v="2024-05-21T00:00:00"/>
    <s v="Phone"/>
    <n v="960"/>
    <n v="0"/>
    <s v="Phone"/>
    <s v="Living Expenses"/>
    <s v="Expense"/>
    <x v="4"/>
  </r>
  <r>
    <d v="2024-05-22T00:00:00"/>
    <s v="Family and Friends surprises"/>
    <n v="1176"/>
    <n v="0"/>
    <s v="Gifts"/>
    <s v="Discretionary"/>
    <s v="Expense"/>
    <x v="4"/>
  </r>
  <r>
    <d v="2024-05-22T00:00:00"/>
    <s v="Online streaming"/>
    <n v="840"/>
    <n v="0"/>
    <s v="Entertainment"/>
    <s v="Discretionary"/>
    <s v="Expense"/>
    <x v="4"/>
  </r>
  <r>
    <d v="2024-05-22T00:00:00"/>
    <s v="Drink"/>
    <n v="120"/>
    <n v="0"/>
    <s v="Coffee"/>
    <s v="Dining Out"/>
    <s v="Expense"/>
    <x v="4"/>
  </r>
  <r>
    <d v="2024-05-23T00:00:00"/>
    <s v="Drink"/>
    <n v="120"/>
    <n v="0"/>
    <s v="Coffee"/>
    <s v="Dining Out"/>
    <s v="Expense"/>
    <x v="4"/>
  </r>
  <r>
    <d v="2024-05-24T00:00:00"/>
    <s v="Drink"/>
    <n v="120"/>
    <n v="0"/>
    <s v="Coffee"/>
    <s v="Dining Out"/>
    <s v="Expense"/>
    <x v="4"/>
  </r>
  <r>
    <d v="2024-05-24T00:00:00"/>
    <s v="Green's"/>
    <n v="4176"/>
    <n v="0"/>
    <s v="Groceries"/>
    <s v="Living Expenses"/>
    <s v="Expense"/>
    <x v="4"/>
  </r>
  <r>
    <d v="2024-05-25T00:00:00"/>
    <s v="Office Lunch"/>
    <n v="986.4"/>
    <n v="0"/>
    <s v="Restaurant"/>
    <s v="Dining Out"/>
    <s v="Expense"/>
    <x v="4"/>
  </r>
  <r>
    <d v="2024-05-26T00:00:00"/>
    <s v="Evening snacks"/>
    <n v="388.8"/>
    <n v="0"/>
    <s v="Restaurant"/>
    <s v="Dining Out"/>
    <s v="Expense"/>
    <x v="4"/>
  </r>
  <r>
    <d v="2024-05-27T00:00:00"/>
    <s v="Orphanage"/>
    <n v="1320"/>
    <n v="0"/>
    <s v="Donation"/>
    <s v="Charity"/>
    <s v="Expense"/>
    <x v="4"/>
  </r>
  <r>
    <d v="2024-05-27T00:00:00"/>
    <s v="Fuel"/>
    <n v="1608"/>
    <n v="0"/>
    <s v="Fueling"/>
    <s v="Transport"/>
    <s v="Expense"/>
    <x v="4"/>
  </r>
  <r>
    <d v="2024-05-27T00:00:00"/>
    <s v="Drink"/>
    <n v="120"/>
    <n v="0"/>
    <s v="Coffee"/>
    <s v="Dining Out"/>
    <s v="Expense"/>
    <x v="4"/>
  </r>
  <r>
    <d v="2024-05-28T00:00:00"/>
    <s v="Drink"/>
    <n v="120"/>
    <n v="0"/>
    <s v="Coffee"/>
    <s v="Dining Out"/>
    <s v="Expense"/>
    <x v="4"/>
  </r>
  <r>
    <d v="2024-05-29T00:00:00"/>
    <s v="Drink"/>
    <n v="120"/>
    <n v="0"/>
    <s v="Coffee"/>
    <s v="Dining Out"/>
    <s v="Expense"/>
    <x v="4"/>
  </r>
  <r>
    <d v="2024-05-30T00:00:00"/>
    <s v="Drink"/>
    <n v="120"/>
    <n v="0"/>
    <s v="Coffee"/>
    <s v="Dining Out"/>
    <s v="Expense"/>
    <x v="4"/>
  </r>
  <r>
    <d v="2024-05-31T00:00:00"/>
    <s v="Drink"/>
    <n v="120"/>
    <n v="0"/>
    <s v="Coffee"/>
    <s v="Dining Out"/>
    <s v="Expense"/>
    <x v="4"/>
  </r>
  <r>
    <d v="2024-05-31T00:00:00"/>
    <s v="Green's"/>
    <n v="3979.2"/>
    <n v="0"/>
    <s v="Groceries"/>
    <s v="Living Expenses"/>
    <s v="Expense"/>
    <x v="4"/>
  </r>
  <r>
    <d v="2024-06-01T00:00:00"/>
    <s v="Trainers"/>
    <n v="3091.2"/>
    <n v="0"/>
    <s v="Clothes"/>
    <s v="Discretionary"/>
    <s v="Expense"/>
    <x v="5"/>
  </r>
  <r>
    <d v="2024-06-01T00:00:00"/>
    <s v="Home décor"/>
    <n v="5640"/>
    <n v="0"/>
    <s v="Furnishings"/>
    <s v="Discretionary"/>
    <s v="Expense"/>
    <x v="5"/>
  </r>
  <r>
    <d v="2024-06-02T00:00:00"/>
    <s v="Zara Clothes"/>
    <n v="3580.8"/>
    <n v="0"/>
    <s v="Clothes"/>
    <s v="Discretionary"/>
    <s v="Expense"/>
    <x v="5"/>
  </r>
  <r>
    <d v="2024-06-02T00:00:00"/>
    <s v="Ola"/>
    <n v="652.79999999999995"/>
    <n v="0"/>
    <s v="Taxi"/>
    <s v="Transport"/>
    <s v="Expense"/>
    <x v="5"/>
  </r>
  <r>
    <d v="2024-06-04T00:00:00"/>
    <s v="Foodary"/>
    <n v="360"/>
    <n v="0"/>
    <s v="Restaurant"/>
    <s v="Dining Out"/>
    <s v="Expense"/>
    <x v="5"/>
  </r>
  <r>
    <d v="2024-06-03T00:00:00"/>
    <s v="Drink"/>
    <n v="120"/>
    <n v="0"/>
    <s v="Coffee"/>
    <s v="Dining Out"/>
    <s v="Expense"/>
    <x v="5"/>
  </r>
  <r>
    <d v="2024-06-04T00:00:00"/>
    <s v="Drink"/>
    <n v="120"/>
    <n v="0"/>
    <s v="Coffee"/>
    <s v="Dining Out"/>
    <s v="Expense"/>
    <x v="5"/>
  </r>
  <r>
    <d v="2024-06-05T00:00:00"/>
    <s v="Nextleap DAF"/>
    <n v="0"/>
    <n v="120000"/>
    <s v="Data with Decision"/>
    <s v="Salary"/>
    <s v="Income"/>
    <x v="5"/>
  </r>
  <r>
    <d v="2024-06-07T00:00:00"/>
    <s v="Drink"/>
    <n v="120"/>
    <n v="0"/>
    <s v="Coffee"/>
    <s v="Dining Out"/>
    <s v="Expense"/>
    <x v="5"/>
  </r>
  <r>
    <d v="2024-06-07T00:00:00"/>
    <s v="Flat Expenses"/>
    <n v="21600"/>
    <n v="0"/>
    <s v="Rent"/>
    <s v="Living Expenses"/>
    <s v="Expense"/>
    <x v="5"/>
  </r>
  <r>
    <d v="2024-06-07T00:00:00"/>
    <s v="EMI"/>
    <n v="3600"/>
    <n v="0"/>
    <s v="Cash loan"/>
    <s v="Transport"/>
    <s v="Expense"/>
    <x v="5"/>
  </r>
  <r>
    <d v="2024-06-07T00:00:00"/>
    <s v="Drink"/>
    <n v="120"/>
    <n v="0"/>
    <s v="Coffee"/>
    <s v="Dining Out"/>
    <s v="Expense"/>
    <x v="5"/>
  </r>
  <r>
    <d v="2024-06-08T00:00:00"/>
    <s v="Drink"/>
    <n v="120"/>
    <n v="0"/>
    <s v="Coffee"/>
    <s v="Dining Out"/>
    <s v="Expense"/>
    <x v="5"/>
  </r>
  <r>
    <d v="2024-06-09T00:00:00"/>
    <s v="Drink"/>
    <n v="120"/>
    <n v="0"/>
    <s v="Coffee"/>
    <s v="Dining Out"/>
    <s v="Expense"/>
    <x v="5"/>
  </r>
  <r>
    <d v="2024-06-10T00:00:00"/>
    <s v="Drink"/>
    <n v="120"/>
    <n v="0"/>
    <s v="Coffee"/>
    <s v="Dining Out"/>
    <s v="Expense"/>
    <x v="5"/>
  </r>
  <r>
    <d v="2024-06-10T00:00:00"/>
    <s v="Green's"/>
    <n v="2856"/>
    <n v="0"/>
    <s v="Groceries"/>
    <s v="Living Expenses"/>
    <s v="Expense"/>
    <x v="5"/>
  </r>
  <r>
    <d v="2024-06-13T00:00:00"/>
    <s v="Power source"/>
    <n v="1320"/>
    <n v="0"/>
    <s v="Gas/Electrics"/>
    <s v="Living Expenses"/>
    <s v="Expense"/>
    <x v="5"/>
  </r>
  <r>
    <d v="2024-06-13T00:00:00"/>
    <s v="Drink"/>
    <n v="120"/>
    <n v="0"/>
    <s v="Coffee"/>
    <s v="Dining Out"/>
    <s v="Expense"/>
    <x v="5"/>
  </r>
  <r>
    <d v="2024-06-14T00:00:00"/>
    <s v="Drink"/>
    <n v="120"/>
    <n v="0"/>
    <s v="Coffee"/>
    <s v="Dining Out"/>
    <s v="Expense"/>
    <x v="5"/>
  </r>
  <r>
    <d v="2024-06-15T00:00:00"/>
    <s v="Fuel"/>
    <n v="1970.4"/>
    <n v="0"/>
    <s v="Fueling"/>
    <s v="Transport"/>
    <s v="Expense"/>
    <x v="5"/>
  </r>
  <r>
    <d v="2024-06-15T00:00:00"/>
    <s v="Drink"/>
    <n v="120"/>
    <n v="0"/>
    <s v="Coffee"/>
    <s v="Dining Out"/>
    <s v="Expense"/>
    <x v="5"/>
  </r>
  <r>
    <d v="2024-06-16T00:00:00"/>
    <s v="Drink"/>
    <n v="120"/>
    <n v="0"/>
    <s v="Coffee"/>
    <s v="Dining Out"/>
    <s v="Expense"/>
    <x v="5"/>
  </r>
  <r>
    <d v="2024-06-17T00:00:00"/>
    <s v="Green's"/>
    <n v="3364.8"/>
    <n v="0"/>
    <s v="Groceries"/>
    <s v="Living Expenses"/>
    <s v="Expense"/>
    <x v="5"/>
  </r>
  <r>
    <d v="2024-06-17T00:00:00"/>
    <s v="Drink"/>
    <n v="120"/>
    <n v="0"/>
    <s v="Coffee"/>
    <s v="Dining Out"/>
    <s v="Expense"/>
    <x v="5"/>
  </r>
  <r>
    <d v="2024-06-18T00:00:00"/>
    <s v="Drink"/>
    <n v="120"/>
    <n v="0"/>
    <s v="Coffee"/>
    <s v="Dining Out"/>
    <s v="Expense"/>
    <x v="5"/>
  </r>
  <r>
    <d v="2024-06-18T00:00:00"/>
    <s v="Cinemas"/>
    <n v="1077.5999999999999"/>
    <n v="0"/>
    <s v="Entertainment"/>
    <s v="Discretionary"/>
    <s v="Expense"/>
    <x v="5"/>
  </r>
  <r>
    <d v="2024-06-18T00:00:00"/>
    <s v="Myntra Accesories"/>
    <n v="2469.6"/>
    <n v="0"/>
    <s v="Clothes"/>
    <s v="Discretionary"/>
    <s v="Expense"/>
    <x v="5"/>
  </r>
  <r>
    <d v="2024-06-18T00:00:00"/>
    <s v="Swiggy"/>
    <n v="1365.6"/>
    <n v="0"/>
    <s v="Restaurant"/>
    <s v="Dining Out"/>
    <s v="Expense"/>
    <x v="5"/>
  </r>
  <r>
    <d v="2024-06-19T00:00:00"/>
    <s v="Ola"/>
    <n v="794.4"/>
    <n v="0"/>
    <s v="Taxi"/>
    <s v="Transport"/>
    <s v="Expense"/>
    <x v="5"/>
  </r>
  <r>
    <d v="2024-06-20T00:00:00"/>
    <s v="Onlne earning"/>
    <n v="0"/>
    <n v="2400"/>
    <s v="YouTube"/>
    <s v="Passive"/>
    <s v="Income"/>
    <x v="5"/>
  </r>
  <r>
    <d v="2024-06-20T00:00:00"/>
    <s v="Drink"/>
    <n v="120"/>
    <n v="0"/>
    <s v="Coffee"/>
    <s v="Dining Out"/>
    <s v="Expense"/>
    <x v="5"/>
  </r>
  <r>
    <d v="2024-06-21T00:00:00"/>
    <s v="Drink"/>
    <n v="120"/>
    <n v="0"/>
    <s v="Coffee"/>
    <s v="Dining Out"/>
    <s v="Expense"/>
    <x v="5"/>
  </r>
  <r>
    <d v="2024-06-21T00:00:00"/>
    <s v="Phone"/>
    <n v="960"/>
    <n v="0"/>
    <s v="Phone"/>
    <s v="Living Expenses"/>
    <s v="Expense"/>
    <x v="5"/>
  </r>
  <r>
    <d v="2024-06-22T00:00:00"/>
    <s v="Family and Friends surprises"/>
    <n v="1202.4000000000001"/>
    <n v="0"/>
    <s v="Gifts"/>
    <s v="Discretionary"/>
    <s v="Expense"/>
    <x v="5"/>
  </r>
  <r>
    <d v="2024-06-22T00:00:00"/>
    <s v="Online streaming"/>
    <n v="840"/>
    <n v="0"/>
    <s v="Entertainment"/>
    <s v="Discretionary"/>
    <s v="Expense"/>
    <x v="5"/>
  </r>
  <r>
    <d v="2024-06-22T00:00:00"/>
    <s v="Drink"/>
    <n v="120"/>
    <n v="0"/>
    <s v="Coffee"/>
    <s v="Dining Out"/>
    <s v="Expense"/>
    <x v="5"/>
  </r>
  <r>
    <d v="2024-06-23T00:00:00"/>
    <s v="Drink"/>
    <n v="120"/>
    <n v="0"/>
    <s v="Coffee"/>
    <s v="Dining Out"/>
    <s v="Expense"/>
    <x v="5"/>
  </r>
  <r>
    <d v="2024-06-24T00:00:00"/>
    <s v="Drink"/>
    <n v="120"/>
    <n v="0"/>
    <s v="Coffee"/>
    <s v="Dining Out"/>
    <s v="Expense"/>
    <x v="5"/>
  </r>
  <r>
    <d v="2024-06-24T00:00:00"/>
    <s v="Green's"/>
    <n v="5616"/>
    <n v="0"/>
    <s v="Groceries"/>
    <s v="Living Expenses"/>
    <s v="Expense"/>
    <x v="5"/>
  </r>
  <r>
    <d v="2024-06-25T00:00:00"/>
    <s v="Office Lunch"/>
    <n v="1010.4"/>
    <n v="0"/>
    <s v="Restaurant"/>
    <s v="Dining Out"/>
    <s v="Expense"/>
    <x v="5"/>
  </r>
  <r>
    <d v="2024-06-26T00:00:00"/>
    <s v="Evening snacks"/>
    <n v="410.4"/>
    <n v="0"/>
    <s v="Restaurant"/>
    <s v="Dining Out"/>
    <s v="Expense"/>
    <x v="5"/>
  </r>
  <r>
    <d v="2024-06-27T00:00:00"/>
    <s v="Orphanage"/>
    <n v="1320"/>
    <n v="0"/>
    <s v="Donation"/>
    <s v="Charity"/>
    <s v="Expense"/>
    <x v="5"/>
  </r>
  <r>
    <d v="2024-06-27T00:00:00"/>
    <s v="Fuel"/>
    <n v="1629.6"/>
    <n v="0"/>
    <s v="Fueling"/>
    <s v="Transport"/>
    <s v="Expense"/>
    <x v="5"/>
  </r>
  <r>
    <d v="2024-06-27T00:00:00"/>
    <s v="Drink"/>
    <n v="120"/>
    <n v="0"/>
    <s v="Coffee"/>
    <s v="Dining Out"/>
    <s v="Expense"/>
    <x v="5"/>
  </r>
  <r>
    <d v="2024-06-28T00:00:00"/>
    <s v="Drink"/>
    <n v="120"/>
    <n v="0"/>
    <s v="Coffee"/>
    <s v="Dining Out"/>
    <s v="Expense"/>
    <x v="5"/>
  </r>
  <r>
    <d v="2024-06-29T00:00:00"/>
    <s v="Drink"/>
    <n v="120"/>
    <n v="0"/>
    <s v="Coffee"/>
    <s v="Dining Out"/>
    <s v="Expense"/>
    <x v="5"/>
  </r>
  <r>
    <d v="2024-06-30T00:00:00"/>
    <s v="Drink"/>
    <n v="120"/>
    <n v="0"/>
    <s v="Coffee"/>
    <s v="Dining Out"/>
    <s v="Expense"/>
    <x v="5"/>
  </r>
  <r>
    <d v="2024-07-01T00:00:00"/>
    <s v="Drink"/>
    <n v="120"/>
    <n v="0"/>
    <s v="Coffee"/>
    <s v="Dining Out"/>
    <s v="Expense"/>
    <x v="6"/>
  </r>
  <r>
    <d v="2024-07-01T00:00:00"/>
    <s v="Green's"/>
    <n v="4005.6"/>
    <n v="0"/>
    <s v="Groceries"/>
    <s v="Living Expenses"/>
    <s v="Expense"/>
    <x v="6"/>
  </r>
  <r>
    <d v="2024-07-02T00:00:00"/>
    <s v="Trainers"/>
    <n v="3117.6"/>
    <n v="0"/>
    <s v="Clothes"/>
    <s v="Discretionary"/>
    <s v="Expense"/>
    <x v="6"/>
  </r>
  <r>
    <d v="2024-07-02T00:00:00"/>
    <s v="Hangingout/Ticket"/>
    <n v="4327.2"/>
    <n v="0"/>
    <s v="Entertainment"/>
    <s v="Discretionary"/>
    <s v="Expense"/>
    <x v="6"/>
  </r>
  <r>
    <d v="2024-07-03T00:00:00"/>
    <s v="Zara Clothes"/>
    <n v="3602.4"/>
    <n v="0"/>
    <s v="Clothes"/>
    <s v="Discretionary"/>
    <s v="Expense"/>
    <x v="6"/>
  </r>
  <r>
    <d v="2024-07-03T00:00:00"/>
    <s v="Ola"/>
    <n v="676.8"/>
    <n v="0"/>
    <s v="Taxi"/>
    <s v="Transport"/>
    <s v="Expense"/>
    <x v="6"/>
  </r>
  <r>
    <d v="2024-07-03T00:00:00"/>
    <s v="Foodary"/>
    <n v="360"/>
    <n v="0"/>
    <s v="Restaurant"/>
    <s v="Dining Out"/>
    <s v="Expense"/>
    <x v="6"/>
  </r>
  <r>
    <d v="2024-07-04T00:00:00"/>
    <s v="Drink"/>
    <n v="120"/>
    <n v="0"/>
    <s v="Coffee"/>
    <s v="Dining Out"/>
    <s v="Expense"/>
    <x v="6"/>
  </r>
  <r>
    <d v="2024-07-05T00:00:00"/>
    <s v="Drink"/>
    <n v="120"/>
    <n v="0"/>
    <s v="Coffee"/>
    <s v="Dining Out"/>
    <s v="Expense"/>
    <x v="6"/>
  </r>
  <r>
    <d v="2024-07-06T00:00:00"/>
    <s v="Nextleap DAF"/>
    <n v="0"/>
    <n v="120000"/>
    <s v="Data with Decision"/>
    <s v="Salary"/>
    <s v="Income"/>
    <x v="6"/>
  </r>
  <r>
    <d v="2024-07-07T00:00:00"/>
    <s v="Drink"/>
    <n v="120"/>
    <n v="0"/>
    <s v="Coffee"/>
    <s v="Dining Out"/>
    <s v="Expense"/>
    <x v="6"/>
  </r>
  <r>
    <d v="2024-07-09T00:00:00"/>
    <s v="Flat Expenses"/>
    <n v="21600"/>
    <n v="0"/>
    <s v="Rent"/>
    <s v="Living Expenses"/>
    <s v="Expense"/>
    <x v="6"/>
  </r>
  <r>
    <d v="2024-07-09T00:00:00"/>
    <s v="EMI"/>
    <n v="3600"/>
    <n v="0"/>
    <s v="Cash loan"/>
    <s v="Transport"/>
    <s v="Expense"/>
    <x v="6"/>
  </r>
  <r>
    <d v="2024-07-09T00:00:00"/>
    <s v="Feedings"/>
    <n v="360"/>
    <n v="0"/>
    <s v="Restaurant"/>
    <s v="Dining Out"/>
    <s v="Expense"/>
    <x v="6"/>
  </r>
  <r>
    <d v="2024-07-09T00:00:00"/>
    <s v="Drink"/>
    <n v="120"/>
    <n v="0"/>
    <s v="Coffee"/>
    <s v="Dining Out"/>
    <s v="Expense"/>
    <x v="6"/>
  </r>
  <r>
    <d v="2024-07-10T00:00:00"/>
    <s v="Drink"/>
    <n v="120"/>
    <n v="0"/>
    <s v="Coffee"/>
    <s v="Dining Out"/>
    <s v="Expense"/>
    <x v="6"/>
  </r>
  <r>
    <d v="2024-07-11T00:00:00"/>
    <s v="Drink"/>
    <n v="120"/>
    <n v="0"/>
    <s v="Coffee"/>
    <s v="Dining Out"/>
    <s v="Expense"/>
    <x v="6"/>
  </r>
  <r>
    <d v="2024-07-11T00:00:00"/>
    <s v="Green's"/>
    <n v="4320"/>
    <n v="0"/>
    <s v="Groceries"/>
    <s v="Living Expenses"/>
    <s v="Expense"/>
    <x v="6"/>
  </r>
  <r>
    <d v="2024-07-14T00:00:00"/>
    <s v="Power source"/>
    <n v="1346.4"/>
    <n v="0"/>
    <s v="Gas/Electrics"/>
    <s v="Living Expenses"/>
    <s v="Expense"/>
    <x v="6"/>
  </r>
  <r>
    <d v="2024-07-14T00:00:00"/>
    <s v="Drink"/>
    <n v="120"/>
    <n v="0"/>
    <s v="Coffee"/>
    <s v="Dining Out"/>
    <s v="Expense"/>
    <x v="6"/>
  </r>
  <r>
    <d v="2024-07-15T00:00:00"/>
    <s v="Drink"/>
    <n v="120"/>
    <n v="0"/>
    <s v="Coffee"/>
    <s v="Dining Out"/>
    <s v="Expense"/>
    <x v="6"/>
  </r>
  <r>
    <d v="2024-07-16T00:00:00"/>
    <s v="Fuel"/>
    <n v="1994.4"/>
    <n v="0"/>
    <s v="Fueling"/>
    <s v="Transport"/>
    <s v="Expense"/>
    <x v="6"/>
  </r>
  <r>
    <d v="2024-07-16T00:00:00"/>
    <s v="Drink"/>
    <n v="120"/>
    <n v="0"/>
    <s v="Coffee"/>
    <s v="Dining Out"/>
    <s v="Expense"/>
    <x v="6"/>
  </r>
  <r>
    <d v="2024-07-17T00:00:00"/>
    <s v="Drink"/>
    <n v="120"/>
    <n v="0"/>
    <s v="Coffee"/>
    <s v="Dining Out"/>
    <s v="Expense"/>
    <x v="6"/>
  </r>
  <r>
    <d v="2024-07-18T00:00:00"/>
    <s v="Green's"/>
    <n v="3386.4"/>
    <n v="0"/>
    <s v="Groceries"/>
    <s v="Living Expenses"/>
    <s v="Expense"/>
    <x v="6"/>
  </r>
  <r>
    <d v="2024-07-18T00:00:00"/>
    <s v="Drink"/>
    <n v="120"/>
    <n v="0"/>
    <s v="Coffee"/>
    <s v="Dining Out"/>
    <s v="Expense"/>
    <x v="6"/>
  </r>
  <r>
    <d v="2024-07-19T00:00:00"/>
    <s v="Drink"/>
    <n v="120"/>
    <n v="0"/>
    <s v="Coffee"/>
    <s v="Dining Out"/>
    <s v="Expense"/>
    <x v="6"/>
  </r>
  <r>
    <d v="2024-07-19T00:00:00"/>
    <s v="Cinemas"/>
    <n v="1099.2"/>
    <n v="0"/>
    <s v="Entertainment"/>
    <s v="Discretionary"/>
    <s v="Expense"/>
    <x v="6"/>
  </r>
  <r>
    <d v="2024-07-19T00:00:00"/>
    <s v="Myntra Accesories"/>
    <n v="2491.1999999999998"/>
    <n v="0"/>
    <s v="Clothes"/>
    <s v="Discretionary"/>
    <s v="Expense"/>
    <x v="6"/>
  </r>
  <r>
    <d v="2024-07-19T00:00:00"/>
    <s v="Swiggy"/>
    <n v="1392"/>
    <n v="0"/>
    <s v="Restaurant"/>
    <s v="Dining Out"/>
    <s v="Expense"/>
    <x v="6"/>
  </r>
  <r>
    <d v="2024-07-20T00:00:00"/>
    <s v="Ola"/>
    <n v="820.8"/>
    <n v="0"/>
    <s v="Taxi"/>
    <s v="Transport"/>
    <s v="Expense"/>
    <x v="6"/>
  </r>
  <r>
    <d v="2024-07-21T00:00:00"/>
    <s v="Onlne earning"/>
    <n v="0"/>
    <n v="4800"/>
    <s v="YouTube"/>
    <s v="Passive"/>
    <s v="Income"/>
    <x v="6"/>
  </r>
  <r>
    <d v="2024-07-21T00:00:00"/>
    <s v="Drink"/>
    <n v="120"/>
    <n v="0"/>
    <s v="Coffee"/>
    <s v="Dining Out"/>
    <s v="Expense"/>
    <x v="6"/>
  </r>
  <r>
    <d v="2024-07-22T00:00:00"/>
    <s v="Drink"/>
    <n v="120"/>
    <n v="0"/>
    <s v="Coffee"/>
    <s v="Dining Out"/>
    <s v="Expense"/>
    <x v="6"/>
  </r>
  <r>
    <d v="2024-07-22T00:00:00"/>
    <s v="Phone"/>
    <n v="960"/>
    <n v="0"/>
    <s v="Phone"/>
    <s v="Living Expenses"/>
    <s v="Expense"/>
    <x v="6"/>
  </r>
  <r>
    <d v="2024-07-23T00:00:00"/>
    <s v="Family and Friends surprises"/>
    <n v="1226.4000000000001"/>
    <n v="0"/>
    <s v="Gifts"/>
    <s v="Discretionary"/>
    <s v="Expense"/>
    <x v="6"/>
  </r>
  <r>
    <d v="2024-07-23T00:00:00"/>
    <s v="Online streaming"/>
    <n v="840"/>
    <n v="0"/>
    <s v="Entertainment"/>
    <s v="Discretionary"/>
    <s v="Expense"/>
    <x v="6"/>
  </r>
  <r>
    <d v="2024-07-23T00:00:00"/>
    <s v="Drink"/>
    <n v="120"/>
    <n v="0"/>
    <s v="Coffee"/>
    <s v="Dining Out"/>
    <s v="Expense"/>
    <x v="6"/>
  </r>
  <r>
    <d v="2024-07-24T00:00:00"/>
    <s v="Drink"/>
    <n v="120"/>
    <n v="0"/>
    <s v="Coffee"/>
    <s v="Dining Out"/>
    <s v="Expense"/>
    <x v="6"/>
  </r>
  <r>
    <d v="2024-07-25T00:00:00"/>
    <s v="Drink"/>
    <n v="120"/>
    <n v="0"/>
    <s v="Coffee"/>
    <s v="Dining Out"/>
    <s v="Expense"/>
    <x v="6"/>
  </r>
  <r>
    <d v="2024-07-25T00:00:00"/>
    <s v="Green's"/>
    <n v="4224"/>
    <n v="0"/>
    <s v="Groceries"/>
    <s v="Living Expenses"/>
    <s v="Expense"/>
    <x v="6"/>
  </r>
  <r>
    <d v="2024-07-26T00:00:00"/>
    <s v="Office Lunch"/>
    <n v="1034.4000000000001"/>
    <n v="0"/>
    <s v="Restaurant"/>
    <s v="Dining Out"/>
    <s v="Expense"/>
    <x v="6"/>
  </r>
  <r>
    <d v="2024-07-27T00:00:00"/>
    <s v="Evening snacks"/>
    <n v="436.8"/>
    <n v="0"/>
    <s v="Restaurant"/>
    <s v="Dining Out"/>
    <s v="Expense"/>
    <x v="6"/>
  </r>
  <r>
    <d v="2024-07-28T00:00:00"/>
    <s v="Orphanage"/>
    <n v="1320"/>
    <n v="0"/>
    <s v="Donation"/>
    <s v="Charity"/>
    <s v="Expense"/>
    <x v="6"/>
  </r>
  <r>
    <d v="2024-07-28T00:00:00"/>
    <s v="Fuel"/>
    <n v="1651.2"/>
    <n v="0"/>
    <s v="Fueling"/>
    <s v="Transport"/>
    <s v="Expense"/>
    <x v="6"/>
  </r>
  <r>
    <d v="2024-07-28T00:00:00"/>
    <s v="Drink"/>
    <n v="120"/>
    <n v="0"/>
    <s v="Coffee"/>
    <s v="Dining Out"/>
    <s v="Expense"/>
    <x v="6"/>
  </r>
  <r>
    <d v="2024-07-29T00:00:00"/>
    <s v="Drink"/>
    <n v="120"/>
    <n v="0"/>
    <s v="Coffee"/>
    <s v="Dining Out"/>
    <s v="Expense"/>
    <x v="6"/>
  </r>
  <r>
    <d v="2024-07-30T00:00:00"/>
    <s v="Drink"/>
    <n v="120"/>
    <n v="0"/>
    <s v="Coffee"/>
    <s v="Dining Out"/>
    <s v="Expense"/>
    <x v="6"/>
  </r>
  <r>
    <d v="2024-07-31T00:00:00"/>
    <s v="Drink"/>
    <n v="120"/>
    <n v="0"/>
    <s v="Coffee"/>
    <s v="Dining Out"/>
    <s v="Expense"/>
    <x v="6"/>
  </r>
  <r>
    <d v="2024-08-01T00:00:00"/>
    <s v="Drink"/>
    <n v="120"/>
    <n v="0"/>
    <s v="Coffee"/>
    <s v="Dining Out"/>
    <s v="Expense"/>
    <x v="7"/>
  </r>
  <r>
    <d v="2024-08-01T00:00:00"/>
    <s v="Green's"/>
    <n v="4632"/>
    <n v="0"/>
    <s v="Groceries"/>
    <s v="Living Expenses"/>
    <s v="Expense"/>
    <x v="7"/>
  </r>
  <r>
    <d v="2024-08-02T00:00:00"/>
    <s v="Trainers"/>
    <n v="3139.2"/>
    <n v="0"/>
    <s v="Clothes"/>
    <s v="Discretionary"/>
    <s v="Expense"/>
    <x v="7"/>
  </r>
  <r>
    <d v="2024-08-02T00:00:00"/>
    <s v="Home décor"/>
    <n v="4353.6000000000004"/>
    <n v="0"/>
    <s v="Furnishings"/>
    <s v="Discretionary"/>
    <s v="Expense"/>
    <x v="7"/>
  </r>
  <r>
    <d v="2024-08-03T00:00:00"/>
    <s v="Zara Clothes"/>
    <n v="3628.8"/>
    <n v="0"/>
    <s v="Clothes"/>
    <s v="Discretionary"/>
    <s v="Expense"/>
    <x v="7"/>
  </r>
  <r>
    <d v="2024-08-03T00:00:00"/>
    <s v="Ola"/>
    <n v="703.2"/>
    <n v="0"/>
    <s v="Taxi"/>
    <s v="Transport"/>
    <s v="Expense"/>
    <x v="7"/>
  </r>
  <r>
    <d v="2024-08-03T00:00:00"/>
    <s v="Foodary"/>
    <n v="360"/>
    <n v="0"/>
    <s v="Restaurant"/>
    <s v="Dining Out"/>
    <s v="Expense"/>
    <x v="7"/>
  </r>
  <r>
    <d v="2024-08-04T00:00:00"/>
    <s v="Drink"/>
    <n v="120"/>
    <n v="0"/>
    <s v="Coffee"/>
    <s v="Dining Out"/>
    <s v="Expense"/>
    <x v="7"/>
  </r>
  <r>
    <d v="2024-08-06T00:00:00"/>
    <s v="Drink"/>
    <n v="120"/>
    <n v="0"/>
    <s v="Coffee"/>
    <s v="Dining Out"/>
    <s v="Expense"/>
    <x v="7"/>
  </r>
  <r>
    <d v="2024-08-06T00:00:00"/>
    <s v="Nextleap DAF"/>
    <n v="0"/>
    <n v="120000"/>
    <s v="Data with Decision"/>
    <s v="Salary"/>
    <s v="Income"/>
    <x v="7"/>
  </r>
  <r>
    <d v="2024-08-07T00:00:00"/>
    <s v="Drink"/>
    <n v="120"/>
    <n v="0"/>
    <s v="Coffee"/>
    <s v="Dining Out"/>
    <s v="Expense"/>
    <x v="7"/>
  </r>
  <r>
    <d v="2024-08-09T00:00:00"/>
    <s v="Flat Expenses"/>
    <n v="21600"/>
    <n v="0"/>
    <s v="Rent"/>
    <s v="Living Expenses"/>
    <s v="Expense"/>
    <x v="7"/>
  </r>
  <r>
    <d v="2024-08-09T00:00:00"/>
    <s v="EMI"/>
    <n v="3600"/>
    <n v="0"/>
    <s v="Cash loan"/>
    <s v="Transport"/>
    <s v="Expense"/>
    <x v="7"/>
  </r>
  <r>
    <d v="2024-08-09T00:00:00"/>
    <s v="Drink"/>
    <n v="120"/>
    <n v="0"/>
    <s v="Coffee"/>
    <s v="Dining Out"/>
    <s v="Expense"/>
    <x v="7"/>
  </r>
  <r>
    <d v="2024-08-09T00:00:00"/>
    <s v="Drink"/>
    <n v="120"/>
    <n v="0"/>
    <s v="Coffee"/>
    <s v="Dining Out"/>
    <s v="Expense"/>
    <x v="7"/>
  </r>
  <r>
    <d v="2024-08-10T00:00:00"/>
    <s v="Drink"/>
    <n v="120"/>
    <n v="0"/>
    <s v="Coffee"/>
    <s v="Dining Out"/>
    <s v="Expense"/>
    <x v="7"/>
  </r>
  <r>
    <d v="2024-08-11T00:00:00"/>
    <s v="Drink"/>
    <n v="120"/>
    <n v="0"/>
    <s v="Coffee"/>
    <s v="Dining Out"/>
    <s v="Expense"/>
    <x v="7"/>
  </r>
  <r>
    <d v="2024-08-11T00:00:00"/>
    <s v="Green's"/>
    <n v="3288"/>
    <n v="0"/>
    <s v="Groceries"/>
    <s v="Living Expenses"/>
    <s v="Expense"/>
    <x v="7"/>
  </r>
  <r>
    <d v="2024-08-14T00:00:00"/>
    <s v="Power source"/>
    <n v="1368"/>
    <n v="0"/>
    <s v="Gas/Electrics"/>
    <s v="Living Expenses"/>
    <s v="Expense"/>
    <x v="7"/>
  </r>
  <r>
    <d v="2024-08-14T00:00:00"/>
    <s v="Drink"/>
    <n v="120"/>
    <n v="0"/>
    <s v="Coffee"/>
    <s v="Dining Out"/>
    <s v="Expense"/>
    <x v="7"/>
  </r>
  <r>
    <d v="2024-08-15T00:00:00"/>
    <s v="Drink"/>
    <n v="120"/>
    <n v="0"/>
    <s v="Coffee"/>
    <s v="Dining Out"/>
    <s v="Expense"/>
    <x v="7"/>
  </r>
  <r>
    <d v="2024-08-16T00:00:00"/>
    <s v="Fuel"/>
    <n v="2020.8"/>
    <n v="0"/>
    <s v="Fueling"/>
    <s v="Transport"/>
    <s v="Expense"/>
    <x v="7"/>
  </r>
  <r>
    <d v="2024-08-16T00:00:00"/>
    <s v="Drink"/>
    <n v="120"/>
    <n v="0"/>
    <s v="Coffee"/>
    <s v="Dining Out"/>
    <s v="Expense"/>
    <x v="7"/>
  </r>
  <r>
    <d v="2024-08-17T00:00:00"/>
    <s v="Drink"/>
    <n v="120"/>
    <n v="0"/>
    <s v="Coffee"/>
    <s v="Dining Out"/>
    <s v="Expense"/>
    <x v="7"/>
  </r>
  <r>
    <d v="2024-08-18T00:00:00"/>
    <s v="Green's"/>
    <n v="3410.4"/>
    <n v="0"/>
    <s v="Groceries"/>
    <s v="Living Expenses"/>
    <s v="Expense"/>
    <x v="7"/>
  </r>
  <r>
    <d v="2024-08-18T00:00:00"/>
    <s v="Drink"/>
    <n v="120"/>
    <n v="0"/>
    <s v="Coffee"/>
    <s v="Dining Out"/>
    <s v="Expense"/>
    <x v="7"/>
  </r>
  <r>
    <d v="2024-08-19T00:00:00"/>
    <s v="Drink"/>
    <n v="120"/>
    <n v="0"/>
    <s v="Coffee"/>
    <s v="Dining Out"/>
    <s v="Expense"/>
    <x v="7"/>
  </r>
  <r>
    <d v="2024-08-19T00:00:00"/>
    <s v="Cinemas"/>
    <n v="1123.2"/>
    <n v="0"/>
    <s v="Entertainment"/>
    <s v="Discretionary"/>
    <s v="Expense"/>
    <x v="7"/>
  </r>
  <r>
    <d v="2024-08-19T00:00:00"/>
    <s v="Sarojini Nagar"/>
    <n v="2512.8000000000002"/>
    <n v="0"/>
    <s v="Clothes"/>
    <s v="Discretionary"/>
    <s v="Expense"/>
    <x v="7"/>
  </r>
  <r>
    <d v="2024-08-19T00:00:00"/>
    <s v="Swiggy"/>
    <n v="1418.4"/>
    <n v="0"/>
    <s v="Restaurant"/>
    <s v="Dining Out"/>
    <s v="Expense"/>
    <x v="7"/>
  </r>
  <r>
    <d v="2024-08-20T00:00:00"/>
    <s v="Ola"/>
    <n v="842.4"/>
    <n v="0"/>
    <s v="Taxi"/>
    <s v="Transport"/>
    <s v="Expense"/>
    <x v="7"/>
  </r>
  <r>
    <d v="2024-08-21T00:00:00"/>
    <s v="Onlne earning"/>
    <n v="0"/>
    <n v="19200"/>
    <s v="YouTube"/>
    <s v="Passive"/>
    <s v="Income"/>
    <x v="7"/>
  </r>
  <r>
    <d v="2024-08-21T00:00:00"/>
    <s v="Drink"/>
    <n v="120"/>
    <n v="0"/>
    <s v="Coffee"/>
    <s v="Dining Out"/>
    <s v="Expense"/>
    <x v="7"/>
  </r>
  <r>
    <d v="2024-08-22T00:00:00"/>
    <s v="Drink"/>
    <n v="120"/>
    <n v="0"/>
    <s v="Coffee"/>
    <s v="Dining Out"/>
    <s v="Expense"/>
    <x v="7"/>
  </r>
  <r>
    <d v="2024-08-22T00:00:00"/>
    <s v="Phone"/>
    <n v="960"/>
    <n v="0"/>
    <s v="Phone"/>
    <s v="Living Expenses"/>
    <s v="Expense"/>
    <x v="7"/>
  </r>
  <r>
    <d v="2024-08-23T00:00:00"/>
    <s v="Family and Friends surprises"/>
    <n v="1250.4000000000001"/>
    <n v="0"/>
    <s v="Gifts"/>
    <s v="Discretionary"/>
    <s v="Expense"/>
    <x v="7"/>
  </r>
  <r>
    <d v="2024-08-23T00:00:00"/>
    <s v="Online streaming"/>
    <n v="840"/>
    <n v="0"/>
    <s v="Entertainment"/>
    <s v="Discretionary"/>
    <s v="Expense"/>
    <x v="7"/>
  </r>
  <r>
    <d v="2024-08-23T00:00:00"/>
    <s v="Drink"/>
    <n v="120"/>
    <n v="0"/>
    <s v="Coffee"/>
    <s v="Dining Out"/>
    <s v="Expense"/>
    <x v="7"/>
  </r>
  <r>
    <d v="2024-08-24T00:00:00"/>
    <s v="Drink"/>
    <n v="120"/>
    <n v="0"/>
    <s v="Coffee"/>
    <s v="Dining Out"/>
    <s v="Expense"/>
    <x v="7"/>
  </r>
  <r>
    <d v="2024-08-25T00:00:00"/>
    <s v="Drink"/>
    <n v="120"/>
    <n v="0"/>
    <s v="Coffee"/>
    <s v="Dining Out"/>
    <s v="Expense"/>
    <x v="7"/>
  </r>
  <r>
    <d v="2024-08-25T00:00:00"/>
    <s v="Green's"/>
    <n v="4248"/>
    <n v="0"/>
    <s v="Groceries"/>
    <s v="Living Expenses"/>
    <s v="Expense"/>
    <x v="7"/>
  </r>
  <r>
    <d v="2024-08-26T00:00:00"/>
    <s v="Office Lunch"/>
    <n v="1060.8"/>
    <n v="0"/>
    <s v="Restaurant"/>
    <s v="Dining Out"/>
    <s v="Expense"/>
    <x v="7"/>
  </r>
  <r>
    <d v="2024-08-27T00:00:00"/>
    <s v="Evening snacks"/>
    <n v="460.8"/>
    <n v="0"/>
    <s v="Restaurant"/>
    <s v="Dining Out"/>
    <s v="Expense"/>
    <x v="7"/>
  </r>
  <r>
    <d v="2024-08-28T00:00:00"/>
    <s v="Orphanage"/>
    <n v="1320"/>
    <n v="0"/>
    <s v="Donation"/>
    <s v="Charity"/>
    <s v="Expense"/>
    <x v="7"/>
  </r>
  <r>
    <d v="2024-08-28T00:00:00"/>
    <s v="Fuel"/>
    <n v="1672.8"/>
    <n v="0"/>
    <s v="Fueling"/>
    <s v="Transport"/>
    <s v="Expense"/>
    <x v="7"/>
  </r>
  <r>
    <d v="2024-08-28T00:00:00"/>
    <s v="Drink"/>
    <n v="120"/>
    <n v="0"/>
    <s v="Coffee"/>
    <s v="Dining Out"/>
    <s v="Expense"/>
    <x v="7"/>
  </r>
  <r>
    <d v="2024-08-29T00:00:00"/>
    <s v="Drink"/>
    <n v="120"/>
    <n v="0"/>
    <s v="Coffee"/>
    <s v="Dining Out"/>
    <s v="Expense"/>
    <x v="7"/>
  </r>
  <r>
    <d v="2024-08-30T00:00:00"/>
    <s v="Drink"/>
    <n v="120"/>
    <n v="0"/>
    <s v="Coffee"/>
    <s v="Dining Out"/>
    <s v="Expense"/>
    <x v="7"/>
  </r>
  <r>
    <d v="2024-08-31T00:00:00"/>
    <s v="Drink"/>
    <n v="120"/>
    <n v="0"/>
    <s v="Coffee"/>
    <s v="Dining Out"/>
    <s v="Expense"/>
    <x v="7"/>
  </r>
  <r>
    <d v="2024-09-01T00:00:00"/>
    <s v="Drink"/>
    <n v="120"/>
    <n v="0"/>
    <s v="Coffee"/>
    <s v="Dining Out"/>
    <s v="Expense"/>
    <x v="8"/>
  </r>
  <r>
    <d v="2024-09-01T00:00:00"/>
    <s v="Green's"/>
    <n v="2808"/>
    <n v="0"/>
    <s v="Groceries"/>
    <s v="Living Expenses"/>
    <s v="Expense"/>
    <x v="8"/>
  </r>
  <r>
    <d v="2024-09-02T00:00:00"/>
    <s v="Trainers"/>
    <n v="3165.6"/>
    <n v="0"/>
    <s v="Clothes"/>
    <s v="Discretionary"/>
    <s v="Expense"/>
    <x v="8"/>
  </r>
  <r>
    <d v="2024-09-02T00:00:00"/>
    <s v="Hangingout/Ticket"/>
    <n v="4377.6000000000004"/>
    <n v="0"/>
    <s v="Entertainment"/>
    <s v="Discretionary"/>
    <s v="Expense"/>
    <x v="8"/>
  </r>
  <r>
    <d v="2024-09-03T00:00:00"/>
    <s v="Zara Clothes"/>
    <n v="3655.2"/>
    <n v="0"/>
    <s v="Clothes"/>
    <s v="Discretionary"/>
    <s v="Expense"/>
    <x v="8"/>
  </r>
  <r>
    <d v="2024-09-03T00:00:00"/>
    <s v="Ola"/>
    <n v="727.2"/>
    <n v="0"/>
    <s v="Taxi"/>
    <s v="Transport"/>
    <s v="Expense"/>
    <x v="8"/>
  </r>
  <r>
    <d v="2024-09-03T00:00:00"/>
    <s v="Foodary"/>
    <n v="360"/>
    <n v="0"/>
    <s v="Restaurant"/>
    <s v="Dining Out"/>
    <s v="Expense"/>
    <x v="8"/>
  </r>
  <r>
    <d v="2024-09-04T00:00:00"/>
    <s v="Drink"/>
    <n v="120"/>
    <n v="0"/>
    <s v="Coffee"/>
    <s v="Dining Out"/>
    <s v="Expense"/>
    <x v="8"/>
  </r>
  <r>
    <d v="2024-09-06T00:00:00"/>
    <s v="Drink"/>
    <n v="120"/>
    <n v="0"/>
    <s v="Coffee"/>
    <s v="Dining Out"/>
    <s v="Expense"/>
    <x v="8"/>
  </r>
  <r>
    <d v="2024-09-06T00:00:00"/>
    <s v="Nextleap DAF"/>
    <n v="0"/>
    <n v="120000"/>
    <s v="Data with Decision"/>
    <s v="Salary"/>
    <s v="Income"/>
    <x v="8"/>
  </r>
  <r>
    <d v="2024-09-07T00:00:00"/>
    <s v="Drink"/>
    <n v="120"/>
    <n v="0"/>
    <s v="Coffee"/>
    <s v="Dining Out"/>
    <s v="Expense"/>
    <x v="8"/>
  </r>
  <r>
    <d v="2024-09-09T00:00:00"/>
    <s v="Flat Expenses"/>
    <n v="21600"/>
    <n v="0"/>
    <s v="Rent"/>
    <s v="Living Expenses"/>
    <s v="Expense"/>
    <x v="8"/>
  </r>
  <r>
    <d v="2024-09-09T00:00:00"/>
    <s v="EMI"/>
    <n v="3600"/>
    <n v="0"/>
    <s v="Cash loan"/>
    <s v="Transport"/>
    <s v="Expense"/>
    <x v="8"/>
  </r>
  <r>
    <d v="2024-09-09T00:00:00"/>
    <s v="Drink"/>
    <n v="120"/>
    <n v="0"/>
    <s v="Coffee"/>
    <s v="Dining Out"/>
    <s v="Expense"/>
    <x v="8"/>
  </r>
  <r>
    <d v="2024-09-09T00:00:00"/>
    <s v="Drink"/>
    <n v="120"/>
    <n v="0"/>
    <s v="Coffee"/>
    <s v="Dining Out"/>
    <s v="Expense"/>
    <x v="8"/>
  </r>
  <r>
    <d v="2024-09-10T00:00:00"/>
    <s v="Drink"/>
    <n v="120"/>
    <n v="0"/>
    <s v="Coffee"/>
    <s v="Dining Out"/>
    <s v="Expense"/>
    <x v="8"/>
  </r>
  <r>
    <d v="2024-09-11T00:00:00"/>
    <s v="Drink"/>
    <n v="120"/>
    <n v="0"/>
    <s v="Coffee"/>
    <s v="Dining Out"/>
    <s v="Expense"/>
    <x v="8"/>
  </r>
  <r>
    <d v="2024-09-11T00:00:00"/>
    <s v="Green's"/>
    <n v="3921.6"/>
    <n v="0"/>
    <s v="Groceries"/>
    <s v="Living Expenses"/>
    <s v="Expense"/>
    <x v="8"/>
  </r>
  <r>
    <d v="2024-09-14T00:00:00"/>
    <s v="Power source"/>
    <n v="1394.4"/>
    <n v="0"/>
    <s v="Gas/Electrics"/>
    <s v="Living Expenses"/>
    <s v="Expense"/>
    <x v="8"/>
  </r>
  <r>
    <d v="2024-09-14T00:00:00"/>
    <s v="Drink"/>
    <n v="120"/>
    <n v="0"/>
    <s v="Coffee"/>
    <s v="Dining Out"/>
    <s v="Expense"/>
    <x v="8"/>
  </r>
  <r>
    <d v="2024-09-15T00:00:00"/>
    <s v="Drink"/>
    <n v="120"/>
    <n v="0"/>
    <s v="Coffee"/>
    <s v="Dining Out"/>
    <s v="Expense"/>
    <x v="8"/>
  </r>
  <r>
    <d v="2024-09-16T00:00:00"/>
    <s v="Fuel"/>
    <n v="2047.2"/>
    <n v="0"/>
    <s v="Fueling"/>
    <s v="Transport"/>
    <s v="Expense"/>
    <x v="8"/>
  </r>
  <r>
    <d v="2024-09-16T00:00:00"/>
    <s v="Drink"/>
    <n v="120"/>
    <n v="0"/>
    <s v="Coffee"/>
    <s v="Dining Out"/>
    <s v="Expense"/>
    <x v="8"/>
  </r>
  <r>
    <d v="2024-09-17T00:00:00"/>
    <s v="Drink"/>
    <n v="120"/>
    <n v="0"/>
    <s v="Coffee"/>
    <s v="Dining Out"/>
    <s v="Expense"/>
    <x v="8"/>
  </r>
  <r>
    <d v="2024-09-18T00:00:00"/>
    <s v="Green's"/>
    <n v="3432"/>
    <n v="0"/>
    <s v="Groceries"/>
    <s v="Living Expenses"/>
    <s v="Expense"/>
    <x v="8"/>
  </r>
  <r>
    <d v="2024-09-18T00:00:00"/>
    <s v="Drink"/>
    <n v="120"/>
    <n v="0"/>
    <s v="Coffee"/>
    <s v="Dining Out"/>
    <s v="Expense"/>
    <x v="8"/>
  </r>
  <r>
    <d v="2024-09-19T00:00:00"/>
    <s v="Drink"/>
    <n v="120"/>
    <n v="0"/>
    <s v="Coffee"/>
    <s v="Dining Out"/>
    <s v="Expense"/>
    <x v="8"/>
  </r>
  <r>
    <d v="2024-09-19T00:00:00"/>
    <s v="Cinemas"/>
    <n v="1147.2"/>
    <n v="0"/>
    <s v="Entertainment"/>
    <s v="Discretionary"/>
    <s v="Expense"/>
    <x v="8"/>
  </r>
  <r>
    <d v="2024-09-19T00:00:00"/>
    <s v="Myntra Accesories"/>
    <n v="2539.1999999999998"/>
    <n v="0"/>
    <s v="Clothes"/>
    <s v="Discretionary"/>
    <s v="Expense"/>
    <x v="8"/>
  </r>
  <r>
    <d v="2024-09-19T00:00:00"/>
    <s v="Swiggy"/>
    <n v="1442.4"/>
    <n v="0"/>
    <s v="Restaurant"/>
    <s v="Dining Out"/>
    <s v="Expense"/>
    <x v="8"/>
  </r>
  <r>
    <d v="2024-09-20T00:00:00"/>
    <s v="Ola"/>
    <n v="868.8"/>
    <n v="0"/>
    <s v="Taxi"/>
    <s v="Transport"/>
    <s v="Expense"/>
    <x v="8"/>
  </r>
  <r>
    <d v="2024-09-21T00:00:00"/>
    <s v="Onlne earning"/>
    <n v="0"/>
    <n v="2400"/>
    <s v="YouTube"/>
    <s v="Passive"/>
    <s v="Income"/>
    <x v="8"/>
  </r>
  <r>
    <d v="2024-09-21T00:00:00"/>
    <s v="Drink"/>
    <n v="120"/>
    <n v="0"/>
    <s v="Coffee"/>
    <s v="Dining Out"/>
    <s v="Expense"/>
    <x v="8"/>
  </r>
  <r>
    <d v="2024-09-22T00:00:00"/>
    <s v="Drink"/>
    <n v="120"/>
    <n v="0"/>
    <s v="Coffee"/>
    <s v="Dining Out"/>
    <s v="Expense"/>
    <x v="8"/>
  </r>
  <r>
    <d v="2024-09-22T00:00:00"/>
    <s v="Phone"/>
    <n v="960"/>
    <n v="0"/>
    <s v="Phone"/>
    <s v="Living Expenses"/>
    <s v="Expense"/>
    <x v="8"/>
  </r>
  <r>
    <d v="2024-09-23T00:00:00"/>
    <s v="Family and Friends surprises"/>
    <n v="1272"/>
    <n v="0"/>
    <s v="Gifts"/>
    <s v="Discretionary"/>
    <s v="Expense"/>
    <x v="8"/>
  </r>
  <r>
    <d v="2024-09-23T00:00:00"/>
    <s v="Online streaming"/>
    <n v="840"/>
    <n v="0"/>
    <s v="Entertainment"/>
    <s v="Discretionary"/>
    <s v="Expense"/>
    <x v="8"/>
  </r>
  <r>
    <d v="2024-09-23T00:00:00"/>
    <s v="Drink"/>
    <n v="120"/>
    <n v="0"/>
    <s v="Coffee"/>
    <s v="Dining Out"/>
    <s v="Expense"/>
    <x v="8"/>
  </r>
  <r>
    <d v="2024-09-24T00:00:00"/>
    <s v="Drink"/>
    <n v="120"/>
    <n v="0"/>
    <s v="Coffee"/>
    <s v="Dining Out"/>
    <s v="Expense"/>
    <x v="8"/>
  </r>
  <r>
    <d v="2024-09-25T00:00:00"/>
    <s v="Drink"/>
    <n v="120"/>
    <n v="0"/>
    <s v="Coffee"/>
    <s v="Dining Out"/>
    <s v="Expense"/>
    <x v="8"/>
  </r>
  <r>
    <d v="2024-09-25T00:00:00"/>
    <s v="Green's"/>
    <n v="4269.6000000000004"/>
    <n v="0"/>
    <s v="Groceries"/>
    <s v="Living Expenses"/>
    <s v="Expense"/>
    <x v="8"/>
  </r>
  <r>
    <d v="2024-09-26T00:00:00"/>
    <s v="Office Lunch"/>
    <n v="1087.2"/>
    <n v="0"/>
    <s v="Restaurant"/>
    <s v="Dining Out"/>
    <s v="Expense"/>
    <x v="8"/>
  </r>
  <r>
    <d v="2024-09-27T00:00:00"/>
    <s v="Evening snacks"/>
    <n v="482.4"/>
    <n v="0"/>
    <s v="Restaurant"/>
    <s v="Dining Out"/>
    <s v="Expense"/>
    <x v="8"/>
  </r>
  <r>
    <d v="2024-09-28T00:00:00"/>
    <s v="Orphanage"/>
    <n v="1320"/>
    <n v="0"/>
    <s v="Donation"/>
    <s v="Charity"/>
    <s v="Expense"/>
    <x v="8"/>
  </r>
  <r>
    <d v="2024-09-28T00:00:00"/>
    <s v="Fuel"/>
    <n v="1694.4"/>
    <n v="0"/>
    <s v="Fueling"/>
    <s v="Transport"/>
    <s v="Expense"/>
    <x v="8"/>
  </r>
  <r>
    <d v="2024-09-28T00:00:00"/>
    <s v="Drink"/>
    <n v="120"/>
    <n v="0"/>
    <s v="Coffee"/>
    <s v="Dining Out"/>
    <s v="Expense"/>
    <x v="8"/>
  </r>
  <r>
    <d v="2024-09-29T00:00:00"/>
    <s v="Drink"/>
    <n v="120"/>
    <n v="0"/>
    <s v="Coffee"/>
    <s v="Dining Out"/>
    <s v="Expense"/>
    <x v="8"/>
  </r>
  <r>
    <d v="2024-09-30T00:00:00"/>
    <s v="Drink"/>
    <n v="120"/>
    <n v="0"/>
    <s v="Coffee"/>
    <s v="Dining Out"/>
    <s v="Expense"/>
    <x v="8"/>
  </r>
  <r>
    <d v="2024-10-01T00:00:00"/>
    <s v="Drink"/>
    <n v="120"/>
    <n v="0"/>
    <s v="Coffee"/>
    <s v="Dining Out"/>
    <s v="Expense"/>
    <x v="9"/>
  </r>
  <r>
    <d v="2024-10-02T00:00:00"/>
    <s v="Drink"/>
    <n v="120"/>
    <n v="0"/>
    <s v="Coffee"/>
    <s v="Dining Out"/>
    <s v="Expense"/>
    <x v="9"/>
  </r>
  <r>
    <d v="2024-10-02T00:00:00"/>
    <s v="Green's"/>
    <n v="5352"/>
    <n v="0"/>
    <s v="Groceries"/>
    <s v="Living Expenses"/>
    <s v="Expense"/>
    <x v="9"/>
  </r>
  <r>
    <d v="2024-10-03T00:00:00"/>
    <s v="Trainers"/>
    <n v="3189.6"/>
    <n v="0"/>
    <s v="Clothes"/>
    <s v="Discretionary"/>
    <s v="Expense"/>
    <x v="9"/>
  </r>
  <r>
    <d v="2024-10-03T00:00:00"/>
    <s v="Global Fashion"/>
    <n v="4200"/>
    <n v="0"/>
    <s v="Clothes"/>
    <s v="Discretionary"/>
    <s v="Expense"/>
    <x v="9"/>
  </r>
  <r>
    <d v="2024-10-04T00:00:00"/>
    <s v="Zara Clothes"/>
    <n v="3681.6"/>
    <n v="0"/>
    <s v="Clothes"/>
    <s v="Discretionary"/>
    <s v="Expense"/>
    <x v="9"/>
  </r>
  <r>
    <d v="2024-10-04T00:00:00"/>
    <s v="Ola"/>
    <n v="748.8"/>
    <n v="0"/>
    <s v="Taxi"/>
    <s v="Transport"/>
    <s v="Expense"/>
    <x v="9"/>
  </r>
  <r>
    <d v="2024-10-04T00:00:00"/>
    <s v="Foodary"/>
    <n v="360"/>
    <n v="0"/>
    <s v="Restaurant"/>
    <s v="Dining Out"/>
    <s v="Expense"/>
    <x v="9"/>
  </r>
  <r>
    <d v="2024-10-05T00:00:00"/>
    <s v="Drink"/>
    <n v="120"/>
    <n v="0"/>
    <s v="Coffee"/>
    <s v="Dining Out"/>
    <s v="Expense"/>
    <x v="9"/>
  </r>
  <r>
    <d v="2024-10-07T00:00:00"/>
    <s v="Drink"/>
    <n v="120"/>
    <n v="0"/>
    <s v="Coffee"/>
    <s v="Dining Out"/>
    <s v="Expense"/>
    <x v="9"/>
  </r>
  <r>
    <d v="2024-10-07T00:00:00"/>
    <s v="Nextleap DAF"/>
    <n v="0"/>
    <n v="120000"/>
    <s v="Data with Decision"/>
    <s v="Salary"/>
    <s v="Income"/>
    <x v="9"/>
  </r>
  <r>
    <d v="2024-10-08T00:00:00"/>
    <s v="Drink"/>
    <n v="120"/>
    <n v="0"/>
    <s v="Coffee"/>
    <s v="Dining Out"/>
    <s v="Expense"/>
    <x v="9"/>
  </r>
  <r>
    <d v="2024-10-10T00:00:00"/>
    <s v="Flat Expenses"/>
    <n v="21600"/>
    <n v="0"/>
    <s v="Rent"/>
    <s v="Living Expenses"/>
    <s v="Expense"/>
    <x v="9"/>
  </r>
  <r>
    <d v="2024-10-10T00:00:00"/>
    <s v="EMI"/>
    <n v="3600"/>
    <n v="0"/>
    <s v="Cash loan"/>
    <s v="Transport"/>
    <s v="Expense"/>
    <x v="9"/>
  </r>
  <r>
    <d v="2024-10-10T00:00:00"/>
    <s v="Drink"/>
    <n v="120"/>
    <n v="0"/>
    <s v="Coffee"/>
    <s v="Dining Out"/>
    <s v="Expense"/>
    <x v="9"/>
  </r>
  <r>
    <d v="2024-10-10T00:00:00"/>
    <s v="Drink"/>
    <n v="120"/>
    <n v="0"/>
    <s v="Coffee"/>
    <s v="Dining Out"/>
    <s v="Expense"/>
    <x v="9"/>
  </r>
  <r>
    <d v="2024-10-11T00:00:00"/>
    <s v="Drink"/>
    <n v="120"/>
    <n v="0"/>
    <s v="Coffee"/>
    <s v="Dining Out"/>
    <s v="Expense"/>
    <x v="9"/>
  </r>
  <r>
    <d v="2024-10-12T00:00:00"/>
    <s v="Drink"/>
    <n v="120"/>
    <n v="0"/>
    <s v="Coffee"/>
    <s v="Dining Out"/>
    <s v="Expense"/>
    <x v="9"/>
  </r>
  <r>
    <d v="2024-10-12T00:00:00"/>
    <s v="Green's"/>
    <n v="2520"/>
    <n v="0"/>
    <s v="Groceries"/>
    <s v="Living Expenses"/>
    <s v="Expense"/>
    <x v="9"/>
  </r>
  <r>
    <d v="2024-10-15T00:00:00"/>
    <s v="Power source"/>
    <n v="1416"/>
    <n v="0"/>
    <s v="Gas/Electrics"/>
    <s v="Living Expenses"/>
    <s v="Expense"/>
    <x v="9"/>
  </r>
  <r>
    <d v="2024-10-15T00:00:00"/>
    <s v="Drink"/>
    <n v="120"/>
    <n v="0"/>
    <s v="Coffee"/>
    <s v="Dining Out"/>
    <s v="Expense"/>
    <x v="9"/>
  </r>
  <r>
    <d v="2024-10-16T00:00:00"/>
    <s v="Drink"/>
    <n v="120"/>
    <n v="0"/>
    <s v="Coffee"/>
    <s v="Dining Out"/>
    <s v="Expense"/>
    <x v="9"/>
  </r>
  <r>
    <d v="2024-10-17T00:00:00"/>
    <s v="Fuel"/>
    <n v="2073.6"/>
    <n v="0"/>
    <s v="Fueling"/>
    <s v="Transport"/>
    <s v="Expense"/>
    <x v="9"/>
  </r>
  <r>
    <d v="2024-10-17T00:00:00"/>
    <s v="Drink"/>
    <n v="120"/>
    <n v="0"/>
    <s v="Coffee"/>
    <s v="Dining Out"/>
    <s v="Expense"/>
    <x v="9"/>
  </r>
  <r>
    <d v="2024-10-18T00:00:00"/>
    <s v="Drink"/>
    <n v="120"/>
    <n v="0"/>
    <s v="Coffee"/>
    <s v="Dining Out"/>
    <s v="Expense"/>
    <x v="9"/>
  </r>
  <r>
    <d v="2024-10-19T00:00:00"/>
    <s v="Green's"/>
    <n v="3453.6"/>
    <n v="0"/>
    <s v="Groceries"/>
    <s v="Living Expenses"/>
    <s v="Expense"/>
    <x v="9"/>
  </r>
  <r>
    <d v="2024-10-19T00:00:00"/>
    <s v="Drink"/>
    <n v="120"/>
    <n v="0"/>
    <s v="Coffee"/>
    <s v="Dining Out"/>
    <s v="Expense"/>
    <x v="9"/>
  </r>
  <r>
    <d v="2024-10-20T00:00:00"/>
    <s v="Drink"/>
    <n v="120"/>
    <n v="0"/>
    <s v="Coffee"/>
    <s v="Dining Out"/>
    <s v="Expense"/>
    <x v="9"/>
  </r>
  <r>
    <d v="2024-10-20T00:00:00"/>
    <s v="Cinemas"/>
    <n v="1171.2"/>
    <n v="0"/>
    <s v="Entertainment"/>
    <s v="Discretionary"/>
    <s v="Expense"/>
    <x v="9"/>
  </r>
  <r>
    <d v="2024-10-20T00:00:00"/>
    <s v="Myntra Accesories"/>
    <n v="2560.8000000000002"/>
    <n v="0"/>
    <s v="Clothes"/>
    <s v="Discretionary"/>
    <s v="Expense"/>
    <x v="9"/>
  </r>
  <r>
    <d v="2024-10-20T00:00:00"/>
    <s v="Swiggy"/>
    <n v="1466.4"/>
    <n v="0"/>
    <s v="Restaurant"/>
    <s v="Dining Out"/>
    <s v="Expense"/>
    <x v="9"/>
  </r>
  <r>
    <d v="2024-10-21T00:00:00"/>
    <s v="Ola"/>
    <n v="892.8"/>
    <n v="0"/>
    <s v="Taxi"/>
    <s v="Transport"/>
    <s v="Expense"/>
    <x v="9"/>
  </r>
  <r>
    <d v="2024-10-22T00:00:00"/>
    <s v="Onlne earning"/>
    <n v="0"/>
    <n v="2400"/>
    <s v="YouTube"/>
    <s v="Passive"/>
    <s v="Income"/>
    <x v="9"/>
  </r>
  <r>
    <d v="2024-10-22T00:00:00"/>
    <s v="Drink"/>
    <n v="120"/>
    <n v="0"/>
    <s v="Coffee"/>
    <s v="Dining Out"/>
    <s v="Expense"/>
    <x v="9"/>
  </r>
  <r>
    <d v="2024-10-23T00:00:00"/>
    <s v="Drink"/>
    <n v="120"/>
    <n v="0"/>
    <s v="Coffee"/>
    <s v="Dining Out"/>
    <s v="Expense"/>
    <x v="9"/>
  </r>
  <r>
    <d v="2024-10-23T00:00:00"/>
    <s v="Taken medication"/>
    <n v="1800"/>
    <n v="0"/>
    <s v="Doctor"/>
    <s v="Medical"/>
    <s v="Expense"/>
    <x v="9"/>
  </r>
  <r>
    <d v="2024-10-23T00:00:00"/>
    <s v="Phone"/>
    <n v="960"/>
    <n v="0"/>
    <s v="Phone"/>
    <s v="Living Expenses"/>
    <s v="Expense"/>
    <x v="9"/>
  </r>
  <r>
    <d v="2024-10-24T00:00:00"/>
    <s v="Family and Friends surprises"/>
    <n v="1298.4000000000001"/>
    <n v="0"/>
    <s v="Gifts"/>
    <s v="Discretionary"/>
    <s v="Expense"/>
    <x v="9"/>
  </r>
  <r>
    <d v="2024-10-24T00:00:00"/>
    <s v="Online streaming"/>
    <n v="840"/>
    <n v="0"/>
    <s v="Entertainment"/>
    <s v="Discretionary"/>
    <s v="Expense"/>
    <x v="9"/>
  </r>
  <r>
    <d v="2024-10-24T00:00:00"/>
    <s v="Drink"/>
    <n v="120"/>
    <n v="0"/>
    <s v="Coffee"/>
    <s v="Dining Out"/>
    <s v="Expense"/>
    <x v="9"/>
  </r>
  <r>
    <d v="2024-10-25T00:00:00"/>
    <s v="Drink"/>
    <n v="120"/>
    <n v="0"/>
    <s v="Coffee"/>
    <s v="Dining Out"/>
    <s v="Expense"/>
    <x v="9"/>
  </r>
  <r>
    <d v="2024-10-26T00:00:00"/>
    <s v="Drink"/>
    <n v="120"/>
    <n v="0"/>
    <s v="Coffee"/>
    <s v="Dining Out"/>
    <s v="Expense"/>
    <x v="9"/>
  </r>
  <r>
    <d v="2024-10-26T00:00:00"/>
    <s v="Green's"/>
    <n v="4293.6000000000004"/>
    <n v="0"/>
    <s v="Groceries"/>
    <s v="Living Expenses"/>
    <s v="Expense"/>
    <x v="9"/>
  </r>
  <r>
    <d v="2024-10-27T00:00:00"/>
    <s v="Office Lunch"/>
    <n v="1108.8"/>
    <n v="0"/>
    <s v="Restaurant"/>
    <s v="Dining Out"/>
    <s v="Expense"/>
    <x v="9"/>
  </r>
  <r>
    <d v="2024-10-28T00:00:00"/>
    <s v="Evening snacks"/>
    <n v="506.4"/>
    <n v="0"/>
    <s v="Restaurant"/>
    <s v="Dining Out"/>
    <s v="Expense"/>
    <x v="9"/>
  </r>
  <r>
    <d v="2024-10-29T00:00:00"/>
    <s v="Orphanage"/>
    <n v="1320"/>
    <n v="0"/>
    <s v="Donation"/>
    <s v="Charity"/>
    <s v="Expense"/>
    <x v="9"/>
  </r>
  <r>
    <d v="2024-10-29T00:00:00"/>
    <s v="Fuel"/>
    <n v="1716"/>
    <n v="0"/>
    <s v="Fueling"/>
    <s v="Transport"/>
    <s v="Expense"/>
    <x v="9"/>
  </r>
  <r>
    <d v="2024-10-29T00:00:00"/>
    <s v="Drink"/>
    <n v="120"/>
    <n v="0"/>
    <s v="Coffee"/>
    <s v="Dining Out"/>
    <s v="Expense"/>
    <x v="9"/>
  </r>
  <r>
    <d v="2024-10-30T00:00:00"/>
    <s v="Drink"/>
    <n v="120"/>
    <n v="0"/>
    <s v="Coffee"/>
    <s v="Dining Out"/>
    <s v="Expense"/>
    <x v="9"/>
  </r>
  <r>
    <d v="2024-10-31T00:00:00"/>
    <s v="Drink"/>
    <n v="120"/>
    <n v="0"/>
    <s v="Coffee"/>
    <s v="Dining Out"/>
    <s v="Expense"/>
    <x v="9"/>
  </r>
  <r>
    <d v="2024-11-01T00:00:00"/>
    <s v="Drink"/>
    <n v="120"/>
    <n v="0"/>
    <s v="Coffee"/>
    <s v="Dining Out"/>
    <s v="Expense"/>
    <x v="10"/>
  </r>
  <r>
    <d v="2024-11-02T00:00:00"/>
    <s v="Drink"/>
    <n v="120"/>
    <n v="0"/>
    <s v="Coffee"/>
    <s v="Dining Out"/>
    <s v="Expense"/>
    <x v="10"/>
  </r>
  <r>
    <d v="2024-11-02T00:00:00"/>
    <s v="Green's"/>
    <n v="4536"/>
    <n v="0"/>
    <s v="Groceries"/>
    <s v="Living Expenses"/>
    <s v="Expense"/>
    <x v="10"/>
  </r>
  <r>
    <d v="2024-11-03T00:00:00"/>
    <s v="Trainers"/>
    <n v="3211.2"/>
    <n v="0"/>
    <s v="Clothes"/>
    <s v="Discretionary"/>
    <s v="Expense"/>
    <x v="10"/>
  </r>
  <r>
    <d v="2024-11-03T00:00:00"/>
    <s v="Hangingout/Ticket"/>
    <n v="4425.6000000000004"/>
    <n v="0"/>
    <s v="Entertainment"/>
    <s v="Discretionary"/>
    <s v="Expense"/>
    <x v="10"/>
  </r>
  <r>
    <d v="2024-11-04T00:00:00"/>
    <s v="H&amp;m Visit"/>
    <n v="3708"/>
    <n v="0"/>
    <s v="Clothes"/>
    <s v="Discretionary"/>
    <s v="Expense"/>
    <x v="10"/>
  </r>
  <r>
    <d v="2024-11-04T00:00:00"/>
    <s v="Ola"/>
    <n v="770.4"/>
    <n v="0"/>
    <s v="Taxi"/>
    <s v="Transport"/>
    <s v="Expense"/>
    <x v="10"/>
  </r>
  <r>
    <d v="2024-11-04T00:00:00"/>
    <s v="Foodary"/>
    <n v="360"/>
    <n v="0"/>
    <s v="Restaurant"/>
    <s v="Dining Out"/>
    <s v="Expense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d v="2024-01-09T00:00:00"/>
    <s v="Nextleap DAF"/>
    <n v="0"/>
    <n v="120000"/>
    <s v="Nextleap DAF"/>
    <s v="Salary"/>
    <s v="Income"/>
    <s v="Jan-2024"/>
    <x v="0"/>
  </r>
  <r>
    <d v="2024-01-09T00:00:00"/>
    <s v="Drink"/>
    <n v="120"/>
    <n v="0"/>
    <s v="Coffee"/>
    <s v="Dining Out"/>
    <s v="Expense"/>
    <s v="Jan-2024"/>
    <x v="0"/>
  </r>
  <r>
    <d v="2024-01-10T00:00:00"/>
    <s v="Flat Expenses"/>
    <n v="21600"/>
    <n v="0"/>
    <s v="Rent"/>
    <s v="Living Expenses"/>
    <s v="Expense"/>
    <s v="Jan-2024"/>
    <x v="0"/>
  </r>
  <r>
    <d v="2024-01-10T00:00:00"/>
    <s v="EMI"/>
    <n v="3600"/>
    <n v="0"/>
    <s v="Cash loan"/>
    <s v="Transport"/>
    <s v="Expense"/>
    <s v="Jan-2024"/>
    <x v="0"/>
  </r>
  <r>
    <d v="2024-01-10T00:00:00"/>
    <s v="Drink"/>
    <n v="120"/>
    <n v="0"/>
    <s v="Coffee"/>
    <s v="Dining Out"/>
    <s v="Expense"/>
    <s v="Jan-2024"/>
    <x v="0"/>
  </r>
  <r>
    <d v="2024-01-11T00:00:00"/>
    <s v="Drink"/>
    <n v="120"/>
    <n v="0"/>
    <s v="Coffee"/>
    <s v="Dining Out"/>
    <s v="Expense"/>
    <s v="Jan-2024"/>
    <x v="0"/>
  </r>
  <r>
    <d v="2024-01-12T00:00:00"/>
    <s v="Drink"/>
    <n v="120"/>
    <n v="0"/>
    <s v="Coffee"/>
    <s v="Dining Out"/>
    <s v="Expense"/>
    <s v="Jan-2024"/>
    <x v="0"/>
  </r>
  <r>
    <d v="2024-01-13T00:00:00"/>
    <s v="Drink"/>
    <n v="120"/>
    <n v="0"/>
    <s v="Coffee"/>
    <s v="Dining Out"/>
    <s v="Expense"/>
    <s v="Jan-2024"/>
    <x v="0"/>
  </r>
  <r>
    <d v="2024-01-13T00:00:00"/>
    <s v="Green's"/>
    <n v="3720"/>
    <n v="0"/>
    <s v="Groceries"/>
    <s v="Living Expenses"/>
    <s v="Expense"/>
    <s v="Jan-2024"/>
    <x v="0"/>
  </r>
  <r>
    <d v="2024-01-16T00:00:00"/>
    <s v="Power source"/>
    <n v="1200"/>
    <n v="0"/>
    <s v="Gas/Electrics"/>
    <s v="Living Expenses"/>
    <s v="Expense"/>
    <s v="Jan-2024"/>
    <x v="1"/>
  </r>
  <r>
    <d v="2024-01-16T00:00:00"/>
    <s v="Drink"/>
    <n v="120"/>
    <n v="0"/>
    <s v="Coffee"/>
    <s v="Dining Out"/>
    <s v="Expense"/>
    <s v="Jan-2024"/>
    <x v="1"/>
  </r>
  <r>
    <d v="2024-01-17T00:00:00"/>
    <s v="Drink"/>
    <n v="120"/>
    <n v="0"/>
    <s v="Coffee"/>
    <s v="Dining Out"/>
    <s v="Expense"/>
    <s v="Jan-2024"/>
    <x v="1"/>
  </r>
  <r>
    <d v="2024-01-18T00:00:00"/>
    <s v="Fuel"/>
    <n v="1848"/>
    <n v="0"/>
    <s v="Coffee"/>
    <s v="Dining Out"/>
    <s v="Expense"/>
    <s v="Jan-2024"/>
    <x v="1"/>
  </r>
  <r>
    <d v="2024-01-18T00:00:00"/>
    <s v="Drink"/>
    <n v="120"/>
    <n v="0"/>
    <s v="Coffee"/>
    <s v="Dining Out"/>
    <s v="Expense"/>
    <s v="Jan-2024"/>
    <x v="1"/>
  </r>
  <r>
    <d v="2024-01-19T00:00:00"/>
    <s v="Drink"/>
    <n v="120"/>
    <n v="0"/>
    <s v="Coffee"/>
    <s v="Dining Out"/>
    <s v="Expense"/>
    <s v="Jan-2024"/>
    <x v="1"/>
  </r>
  <r>
    <d v="2024-01-20T00:00:00"/>
    <s v="Green's"/>
    <n v="3240"/>
    <n v="0"/>
    <s v="Groceries"/>
    <s v="Living Expenses"/>
    <s v="Expense"/>
    <s v="Jan-2024"/>
    <x v="1"/>
  </r>
  <r>
    <d v="2024-01-20T00:00:00"/>
    <s v="Drink"/>
    <n v="120"/>
    <n v="0"/>
    <s v="Coffee"/>
    <s v="Dining Out"/>
    <s v="Expense"/>
    <s v="Jan-2024"/>
    <x v="1"/>
  </r>
  <r>
    <d v="2024-01-21T00:00:00"/>
    <s v="Drink"/>
    <n v="120"/>
    <n v="0"/>
    <s v="Coffee"/>
    <s v="Dining Out"/>
    <s v="Expense"/>
    <s v="Jan-2024"/>
    <x v="1"/>
  </r>
  <r>
    <d v="2024-01-21T00:00:00"/>
    <s v="Cinemas"/>
    <n v="960"/>
    <n v="0"/>
    <s v="Entertainment"/>
    <s v="Discretionary"/>
    <s v="Expense"/>
    <s v="Jan-2024"/>
    <x v="1"/>
  </r>
  <r>
    <d v="2024-01-21T00:00:00"/>
    <s v="Zara Clothes"/>
    <n v="2352"/>
    <n v="0"/>
    <s v="Clothes"/>
    <s v="Discretionary"/>
    <s v="Expense"/>
    <s v="Jan-2024"/>
    <x v="1"/>
  </r>
  <r>
    <d v="2024-01-21T00:00:00"/>
    <s v="Swiggy"/>
    <n v="1248"/>
    <n v="0"/>
    <s v="Restaurant"/>
    <s v="Dining Out"/>
    <s v="Expense"/>
    <s v="Jan-2024"/>
    <x v="1"/>
  </r>
  <r>
    <d v="2024-01-22T00:00:00"/>
    <s v="Ola"/>
    <n v="672"/>
    <n v="0"/>
    <s v="Taxi"/>
    <s v="Transport"/>
    <s v="Expense"/>
    <s v="Jan-2024"/>
    <x v="2"/>
  </r>
  <r>
    <d v="2024-01-23T00:00:00"/>
    <s v="Onlne earning"/>
    <n v="0"/>
    <n v="108000"/>
    <s v="YouTube"/>
    <s v="Passive"/>
    <s v="Income"/>
    <s v="Jan-2024"/>
    <x v="2"/>
  </r>
  <r>
    <d v="2024-01-23T00:00:00"/>
    <s v="Drink"/>
    <n v="120"/>
    <n v="0"/>
    <s v="Coffee"/>
    <s v="Dining Out"/>
    <s v="Expense"/>
    <s v="Jan-2024"/>
    <x v="2"/>
  </r>
  <r>
    <d v="2024-01-24T00:00:00"/>
    <s v="Drink"/>
    <n v="120"/>
    <n v="0"/>
    <s v="Coffee"/>
    <s v="Dining Out"/>
    <s v="Expense"/>
    <s v="Jan-2024"/>
    <x v="2"/>
  </r>
  <r>
    <d v="2024-01-24T00:00:00"/>
    <s v="Onlne earning"/>
    <n v="0"/>
    <n v="108000"/>
    <s v="Teachable"/>
    <s v="Passive"/>
    <s v="Income"/>
    <s v="Jan-2024"/>
    <x v="2"/>
  </r>
  <r>
    <d v="2024-01-24T00:00:00"/>
    <s v="Phone"/>
    <n v="960"/>
    <n v="0"/>
    <s v="Phone"/>
    <s v="Living Expenses"/>
    <s v="Expense"/>
    <s v="Jan-2024"/>
    <x v="2"/>
  </r>
  <r>
    <d v="2024-01-25T00:00:00"/>
    <s v="Family and Friends surprises"/>
    <n v="1080"/>
    <n v="0"/>
    <s v="Gifts"/>
    <s v="Discretionary"/>
    <s v="Expense"/>
    <s v="Jan-2024"/>
    <x v="2"/>
  </r>
  <r>
    <d v="2024-01-25T00:00:00"/>
    <s v="Online streaming"/>
    <n v="768"/>
    <n v="0"/>
    <s v="Entertainment"/>
    <s v="Discretionary"/>
    <s v="Expense"/>
    <s v="Jan-2024"/>
    <x v="2"/>
  </r>
  <r>
    <d v="2024-01-25T00:00:00"/>
    <s v="Drink"/>
    <n v="120"/>
    <n v="0"/>
    <s v="Coffee"/>
    <s v="Dining Out"/>
    <s v="Expense"/>
    <s v="Jan-2024"/>
    <x v="2"/>
  </r>
  <r>
    <d v="2024-01-26T00:00:00"/>
    <s v="Drink"/>
    <n v="120"/>
    <n v="0"/>
    <s v="Coffee"/>
    <s v="Dining Out"/>
    <s v="Expense"/>
    <s v="Jan-2024"/>
    <x v="2"/>
  </r>
  <r>
    <d v="2024-01-27T00:00:00"/>
    <s v="Drink"/>
    <n v="120"/>
    <n v="0"/>
    <s v="Coffee"/>
    <s v="Dining Out"/>
    <s v="Expense"/>
    <s v="Jan-2024"/>
    <x v="2"/>
  </r>
  <r>
    <d v="2024-01-27T00:00:00"/>
    <s v="Green's"/>
    <n v="4080"/>
    <n v="0"/>
    <s v="Groceries"/>
    <s v="Living Expenses"/>
    <s v="Expense"/>
    <s v="Jan-2024"/>
    <x v="2"/>
  </r>
  <r>
    <d v="2024-01-28T00:00:00"/>
    <s v="Office Lunch"/>
    <n v="888"/>
    <n v="0"/>
    <s v="Restaurant"/>
    <s v="Dining Out"/>
    <s v="Expense"/>
    <s v="Jan-2024"/>
    <x v="2"/>
  </r>
  <r>
    <d v="2024-01-29T00:00:00"/>
    <s v="Evening snacks"/>
    <n v="288"/>
    <n v="0"/>
    <s v="Restaurant"/>
    <s v="Dining Out"/>
    <s v="Expense"/>
    <s v="Jan-2024"/>
    <x v="3"/>
  </r>
  <r>
    <d v="2024-01-30T00:00:00"/>
    <s v="Orphanage"/>
    <n v="1320"/>
    <n v="0"/>
    <s v="Donation"/>
    <s v="Charity"/>
    <s v="Expense"/>
    <s v="Jan-2024"/>
    <x v="3"/>
  </r>
  <r>
    <d v="2024-01-30T00:00:00"/>
    <s v="Fuel"/>
    <n v="1512"/>
    <n v="0"/>
    <s v="Fueling"/>
    <s v="Transport"/>
    <s v="Expense"/>
    <s v="Jan-2024"/>
    <x v="3"/>
  </r>
  <r>
    <d v="2024-01-30T00:00:00"/>
    <s v="Drink"/>
    <n v="120"/>
    <n v="0"/>
    <s v="Coffee"/>
    <s v="Dining Out"/>
    <s v="Expense"/>
    <s v="Jan-2024"/>
    <x v="3"/>
  </r>
  <r>
    <d v="2024-01-31T00:00:00"/>
    <s v="Drink"/>
    <n v="120"/>
    <n v="0"/>
    <s v="Coffee"/>
    <s v="Dining Out"/>
    <s v="Expense"/>
    <s v="Jan-2024"/>
    <x v="3"/>
  </r>
  <r>
    <d v="2024-02-01T00:00:00"/>
    <s v="Drink"/>
    <n v="120"/>
    <n v="0"/>
    <s v="Coffee"/>
    <s v="Dining Out"/>
    <s v="Expense"/>
    <s v="Feb-2024"/>
    <x v="3"/>
  </r>
  <r>
    <d v="2024-02-02T00:00:00"/>
    <s v="Drink"/>
    <n v="120"/>
    <n v="0"/>
    <s v="Coffee"/>
    <s v="Dining Out"/>
    <s v="Expense"/>
    <s v="Feb-2024"/>
    <x v="3"/>
  </r>
  <r>
    <d v="2024-02-03T00:00:00"/>
    <s v="Drink"/>
    <n v="120"/>
    <n v="0"/>
    <s v="Coffee"/>
    <s v="Dining Out"/>
    <s v="Expense"/>
    <s v="Feb-2024"/>
    <x v="3"/>
  </r>
  <r>
    <d v="2024-02-03T00:00:00"/>
    <s v="Green's"/>
    <n v="3888"/>
    <n v="0"/>
    <s v="Groceries"/>
    <s v="Living Expenses"/>
    <s v="Expense"/>
    <s v="Feb-2024"/>
    <x v="3"/>
  </r>
  <r>
    <d v="2024-02-04T00:00:00"/>
    <s v="Trainers"/>
    <n v="3000"/>
    <n v="0"/>
    <s v="Clothes"/>
    <s v="Discretionary"/>
    <s v="Expense"/>
    <s v="Feb-2024"/>
    <x v="3"/>
  </r>
  <r>
    <d v="2024-02-04T00:00:00"/>
    <s v="Hangingout/Ticket"/>
    <n v="4200"/>
    <n v="0"/>
    <s v="Entertainment"/>
    <s v="Discretionary"/>
    <s v="Expense"/>
    <s v="Feb-2024"/>
    <x v="3"/>
  </r>
  <r>
    <d v="2024-02-05T00:00:00"/>
    <s v="Zara Clothes"/>
    <n v="3480"/>
    <n v="0"/>
    <s v="Clothes"/>
    <s v="Discretionary"/>
    <s v="Expense"/>
    <s v="Feb-2024"/>
    <x v="4"/>
  </r>
  <r>
    <d v="2024-02-05T00:00:00"/>
    <s v="Ola"/>
    <n v="552"/>
    <n v="0"/>
    <s v="Taxi"/>
    <s v="Transport"/>
    <s v="Expense"/>
    <s v="Feb-2024"/>
    <x v="4"/>
  </r>
  <r>
    <d v="2024-02-06T00:00:00"/>
    <s v="Nextleap DAF"/>
    <n v="0"/>
    <n v="120000"/>
    <s v="Data with Decision"/>
    <s v="Salary"/>
    <s v="Income"/>
    <s v="Feb-2024"/>
    <x v="4"/>
  </r>
  <r>
    <d v="2024-02-06T00:00:00"/>
    <s v="Drink"/>
    <n v="120"/>
    <n v="0"/>
    <s v="Coffee"/>
    <s v="Dining Out"/>
    <s v="Expense"/>
    <s v="Feb-2024"/>
    <x v="4"/>
  </r>
  <r>
    <d v="2024-02-07T00:00:00"/>
    <s v="Flat Expenses"/>
    <n v="21600"/>
    <n v="0"/>
    <s v="Rent"/>
    <s v="Living Expenses"/>
    <s v="Expense"/>
    <s v="Feb-2024"/>
    <x v="4"/>
  </r>
  <r>
    <d v="2024-02-07T00:00:00"/>
    <s v="EMI"/>
    <n v="3600"/>
    <n v="0"/>
    <s v="Cash loan"/>
    <s v="Transport"/>
    <s v="Expense"/>
    <s v="Feb-2024"/>
    <x v="4"/>
  </r>
  <r>
    <d v="2024-02-07T00:00:00"/>
    <s v="Drink"/>
    <n v="120"/>
    <n v="0"/>
    <s v="Coffee"/>
    <s v="Dining Out"/>
    <s v="Expense"/>
    <s v="Feb-2024"/>
    <x v="4"/>
  </r>
  <r>
    <d v="2024-02-08T00:00:00"/>
    <s v="Drink"/>
    <n v="120"/>
    <n v="0"/>
    <s v="Coffee"/>
    <s v="Dining Out"/>
    <s v="Expense"/>
    <s v="Feb-2024"/>
    <x v="4"/>
  </r>
  <r>
    <d v="2024-02-09T00:00:00"/>
    <s v="Drink"/>
    <n v="120"/>
    <n v="0"/>
    <s v="Coffee"/>
    <s v="Dining Out"/>
    <s v="Expense"/>
    <s v="Feb-2024"/>
    <x v="4"/>
  </r>
  <r>
    <d v="2024-02-10T00:00:00"/>
    <s v="Drink"/>
    <n v="120"/>
    <n v="0"/>
    <s v="Coffee"/>
    <s v="Dining Out"/>
    <s v="Expense"/>
    <s v="Feb-2024"/>
    <x v="4"/>
  </r>
  <r>
    <d v="2024-02-10T00:00:00"/>
    <s v="Green's"/>
    <n v="4920"/>
    <n v="0"/>
    <s v="Groceries"/>
    <s v="Living Expenses"/>
    <s v="Expense"/>
    <s v="Feb-2024"/>
    <x v="4"/>
  </r>
  <r>
    <d v="2024-02-13T00:00:00"/>
    <s v="Power source"/>
    <n v="1226.4000000000001"/>
    <n v="0"/>
    <s v="Gas/Electrics"/>
    <s v="Living Expenses"/>
    <s v="Expense"/>
    <s v="Feb-2024"/>
    <x v="5"/>
  </r>
  <r>
    <d v="2024-02-13T00:00:00"/>
    <s v="Drink"/>
    <n v="120"/>
    <n v="0"/>
    <s v="Coffee"/>
    <s v="Dining Out"/>
    <s v="Expense"/>
    <s v="Feb-2024"/>
    <x v="5"/>
  </r>
  <r>
    <d v="2024-02-14T00:00:00"/>
    <s v="Drink"/>
    <n v="120"/>
    <n v="0"/>
    <s v="Coffee"/>
    <s v="Dining Out"/>
    <s v="Expense"/>
    <s v="Feb-2024"/>
    <x v="5"/>
  </r>
  <r>
    <d v="2024-02-15T00:00:00"/>
    <s v="Fuel"/>
    <n v="1872"/>
    <n v="0"/>
    <s v="Fueling"/>
    <s v="Transport"/>
    <s v="Expense"/>
    <s v="Feb-2024"/>
    <x v="5"/>
  </r>
  <r>
    <d v="2024-02-15T00:00:00"/>
    <s v="Drink"/>
    <n v="120"/>
    <n v="0"/>
    <s v="Coffee"/>
    <s v="Dining Out"/>
    <s v="Expense"/>
    <s v="Feb-2024"/>
    <x v="5"/>
  </r>
  <r>
    <d v="2024-02-16T00:00:00"/>
    <s v="Drink"/>
    <n v="120"/>
    <n v="0"/>
    <s v="Coffee"/>
    <s v="Dining Out"/>
    <s v="Expense"/>
    <s v="Feb-2024"/>
    <x v="5"/>
  </r>
  <r>
    <d v="2024-02-17T00:00:00"/>
    <s v="Green's"/>
    <n v="3261.6"/>
    <n v="0"/>
    <s v="Groceries"/>
    <s v="Living Expenses"/>
    <s v="Expense"/>
    <s v="Feb-2024"/>
    <x v="5"/>
  </r>
  <r>
    <d v="2024-02-17T00:00:00"/>
    <s v="Drink"/>
    <n v="120"/>
    <n v="0"/>
    <s v="Coffee"/>
    <s v="Dining Out"/>
    <s v="Expense"/>
    <s v="Feb-2024"/>
    <x v="5"/>
  </r>
  <r>
    <d v="2024-02-18T00:00:00"/>
    <s v="Drink"/>
    <n v="120"/>
    <n v="0"/>
    <s v="Coffee"/>
    <s v="Dining Out"/>
    <s v="Expense"/>
    <s v="Feb-2024"/>
    <x v="5"/>
  </r>
  <r>
    <d v="2024-02-18T00:00:00"/>
    <s v="Cinemas"/>
    <n v="981.6"/>
    <n v="0"/>
    <s v="Entertainment"/>
    <s v="Discretionary"/>
    <s v="Expense"/>
    <s v="Feb-2024"/>
    <x v="5"/>
  </r>
  <r>
    <d v="2024-02-18T00:00:00"/>
    <s v="Myntra Accesories"/>
    <n v="2376"/>
    <n v="0"/>
    <s v="Clothes"/>
    <s v="Discretionary"/>
    <s v="Expense"/>
    <s v="Feb-2024"/>
    <x v="5"/>
  </r>
  <r>
    <d v="2024-02-18T00:00:00"/>
    <s v="Swiggy"/>
    <n v="1272"/>
    <n v="0"/>
    <s v="Restaurant"/>
    <s v="Dining Out"/>
    <s v="Expense"/>
    <s v="Feb-2024"/>
    <x v="5"/>
  </r>
  <r>
    <d v="2024-02-19T00:00:00"/>
    <s v="Ola"/>
    <n v="693.6"/>
    <n v="0"/>
    <s v="Taxi"/>
    <s v="Transport"/>
    <s v="Expense"/>
    <s v="Feb-2024"/>
    <x v="6"/>
  </r>
  <r>
    <d v="2024-02-20T00:00:00"/>
    <s v="Onlne earning"/>
    <n v="0"/>
    <n v="19200"/>
    <s v="YouTube"/>
    <s v="Passive"/>
    <s v="Income"/>
    <s v="Feb-2024"/>
    <x v="6"/>
  </r>
  <r>
    <d v="2024-02-20T00:00:00"/>
    <s v="Drink"/>
    <n v="120"/>
    <n v="0"/>
    <s v="Coffee"/>
    <s v="Dining Out"/>
    <s v="Expense"/>
    <s v="Feb-2024"/>
    <x v="6"/>
  </r>
  <r>
    <d v="2024-02-21T00:00:00"/>
    <s v="Drink"/>
    <n v="120"/>
    <n v="0"/>
    <s v="Coffee"/>
    <s v="Dining Out"/>
    <s v="Expense"/>
    <s v="Feb-2024"/>
    <x v="6"/>
  </r>
  <r>
    <d v="2024-02-21T00:00:00"/>
    <s v="Phone"/>
    <n v="960"/>
    <n v="0"/>
    <s v="Phone"/>
    <s v="Living Expenses"/>
    <s v="Expense"/>
    <s v="Feb-2024"/>
    <x v="6"/>
  </r>
  <r>
    <d v="2024-02-22T00:00:00"/>
    <s v="Family and Friends surprises"/>
    <n v="1101.5999999999999"/>
    <n v="0"/>
    <s v="Gifts"/>
    <s v="Discretionary"/>
    <s v="Expense"/>
    <s v="Feb-2024"/>
    <x v="6"/>
  </r>
  <r>
    <d v="2024-02-22T00:00:00"/>
    <s v="Online streaming"/>
    <n v="840"/>
    <n v="0"/>
    <s v="Entertainment"/>
    <s v="Discretionary"/>
    <s v="Expense"/>
    <s v="Feb-2024"/>
    <x v="6"/>
  </r>
  <r>
    <d v="2024-02-22T00:00:00"/>
    <s v="Drink"/>
    <n v="120"/>
    <n v="0"/>
    <s v="Coffee"/>
    <s v="Dining Out"/>
    <s v="Expense"/>
    <s v="Feb-2024"/>
    <x v="6"/>
  </r>
  <r>
    <d v="2024-02-23T00:00:00"/>
    <s v="Drink"/>
    <n v="120"/>
    <n v="0"/>
    <s v="Coffee"/>
    <s v="Dining Out"/>
    <s v="Expense"/>
    <s v="Feb-2024"/>
    <x v="6"/>
  </r>
  <r>
    <d v="2024-02-24T00:00:00"/>
    <s v="Drink"/>
    <n v="120"/>
    <n v="0"/>
    <s v="Coffee"/>
    <s v="Dining Out"/>
    <s v="Expense"/>
    <s v="Feb-2024"/>
    <x v="6"/>
  </r>
  <r>
    <d v="2024-02-24T00:00:00"/>
    <s v="Green's"/>
    <n v="4104"/>
    <n v="0"/>
    <s v="Groceries"/>
    <s v="Living Expenses"/>
    <s v="Expense"/>
    <s v="Feb-2024"/>
    <x v="6"/>
  </r>
  <r>
    <d v="2024-02-25T00:00:00"/>
    <s v="Office Lunch"/>
    <n v="909.6"/>
    <n v="0"/>
    <s v="Restaurant"/>
    <s v="Dining Out"/>
    <s v="Expense"/>
    <s v="Feb-2024"/>
    <x v="6"/>
  </r>
  <r>
    <d v="2024-02-26T00:00:00"/>
    <s v="Evening snacks"/>
    <n v="309.60000000000002"/>
    <n v="0"/>
    <s v="Restaurant"/>
    <s v="Dining Out"/>
    <s v="Expense"/>
    <s v="Feb-2024"/>
    <x v="7"/>
  </r>
  <r>
    <d v="2024-02-27T00:00:00"/>
    <s v="Orphanage"/>
    <n v="1320"/>
    <n v="0"/>
    <s v="Donation"/>
    <s v="Charity"/>
    <s v="Expense"/>
    <s v="Feb-2024"/>
    <x v="7"/>
  </r>
  <r>
    <d v="2024-02-27T00:00:00"/>
    <s v="Fuel"/>
    <n v="1538.4"/>
    <n v="0"/>
    <s v="Fueling"/>
    <s v="Transport"/>
    <s v="Expense"/>
    <s v="Feb-2024"/>
    <x v="7"/>
  </r>
  <r>
    <d v="2024-02-27T00:00:00"/>
    <s v="Drink"/>
    <n v="120"/>
    <n v="0"/>
    <s v="Coffee"/>
    <s v="Dining Out"/>
    <s v="Expense"/>
    <s v="Feb-2024"/>
    <x v="7"/>
  </r>
  <r>
    <d v="2024-02-28T00:00:00"/>
    <s v="Drink"/>
    <n v="120"/>
    <n v="0"/>
    <s v="Coffee"/>
    <s v="Dining Out"/>
    <s v="Expense"/>
    <s v="Feb-2024"/>
    <x v="7"/>
  </r>
  <r>
    <d v="2024-02-29T00:00:00"/>
    <s v="Drink"/>
    <n v="120"/>
    <n v="0"/>
    <s v="Coffee"/>
    <s v="Dining Out"/>
    <s v="Expense"/>
    <s v="Feb-2024"/>
    <x v="7"/>
  </r>
  <r>
    <d v="2024-03-01T00:00:00"/>
    <s v="Drink"/>
    <n v="120"/>
    <n v="0"/>
    <s v="Coffee"/>
    <s v="Dining Out"/>
    <s v="Expense"/>
    <s v="Mar-2024"/>
    <x v="7"/>
  </r>
  <r>
    <d v="2024-03-02T00:00:00"/>
    <s v="Drink"/>
    <n v="120"/>
    <n v="0"/>
    <s v="Coffee"/>
    <s v="Dining Out"/>
    <s v="Expense"/>
    <s v="Mar-2024"/>
    <x v="7"/>
  </r>
  <r>
    <d v="2024-03-02T00:00:00"/>
    <s v="Green's"/>
    <n v="3909.6"/>
    <n v="0"/>
    <s v="Groceries"/>
    <s v="Living Expenses"/>
    <s v="Expense"/>
    <s v="Mar-2024"/>
    <x v="7"/>
  </r>
  <r>
    <d v="2024-03-03T00:00:00"/>
    <s v="Trainers"/>
    <n v="3021.6"/>
    <n v="0"/>
    <s v="Clothes"/>
    <s v="Discretionary"/>
    <s v="Expense"/>
    <s v="Mar-2024"/>
    <x v="7"/>
  </r>
  <r>
    <d v="2024-03-03T00:00:00"/>
    <s v="Global Fashion"/>
    <n v="3288"/>
    <n v="0"/>
    <s v="Clothes"/>
    <s v="Discretionary"/>
    <s v="Expense"/>
    <s v="Mar-2024"/>
    <x v="7"/>
  </r>
  <r>
    <d v="2024-03-04T00:00:00"/>
    <s v="Zara Clothes"/>
    <n v="3506.4"/>
    <n v="0"/>
    <s v="Clothes"/>
    <s v="Discretionary"/>
    <s v="Expense"/>
    <s v="Mar-2024"/>
    <x v="8"/>
  </r>
  <r>
    <d v="2024-03-04T00:00:00"/>
    <s v="Ola"/>
    <n v="578.4"/>
    <n v="0"/>
    <s v="Taxi"/>
    <s v="Transport"/>
    <s v="Expense"/>
    <s v="Mar-2024"/>
    <x v="8"/>
  </r>
  <r>
    <d v="2024-03-05T00:00:00"/>
    <s v="Nextleap DAF"/>
    <n v="0"/>
    <n v="120000"/>
    <s v="Data with Decision"/>
    <s v="Salary"/>
    <s v="Income"/>
    <s v="Mar-2024"/>
    <x v="8"/>
  </r>
  <r>
    <d v="2024-03-05T00:00:00"/>
    <s v="Drink"/>
    <n v="120"/>
    <n v="0"/>
    <s v="Coffee"/>
    <s v="Dining Out"/>
    <s v="Expense"/>
    <s v="Mar-2024"/>
    <x v="8"/>
  </r>
  <r>
    <d v="2024-03-06T00:00:00"/>
    <s v="Flat Expenses"/>
    <n v="21600"/>
    <n v="0"/>
    <s v="Rent"/>
    <s v="Living Expenses"/>
    <s v="Expense"/>
    <s v="Mar-2024"/>
    <x v="8"/>
  </r>
  <r>
    <d v="2024-03-06T00:00:00"/>
    <s v="EMI"/>
    <n v="3600"/>
    <n v="0"/>
    <s v="Cash loan"/>
    <s v="Transport"/>
    <s v="Expense"/>
    <s v="Mar-2024"/>
    <x v="8"/>
  </r>
  <r>
    <d v="2024-03-06T00:00:00"/>
    <s v="Drink"/>
    <n v="120"/>
    <n v="0"/>
    <s v="Coffee"/>
    <s v="Dining Out"/>
    <s v="Expense"/>
    <s v="Mar-2024"/>
    <x v="8"/>
  </r>
  <r>
    <d v="2024-03-07T00:00:00"/>
    <s v="Drink"/>
    <n v="120"/>
    <n v="0"/>
    <s v="Coffee"/>
    <s v="Dining Out"/>
    <s v="Expense"/>
    <s v="Mar-2024"/>
    <x v="8"/>
  </r>
  <r>
    <d v="2024-03-08T00:00:00"/>
    <s v="Drink"/>
    <n v="120"/>
    <n v="0"/>
    <s v="Coffee"/>
    <s v="Dining Out"/>
    <s v="Expense"/>
    <s v="Mar-2024"/>
    <x v="8"/>
  </r>
  <r>
    <d v="2024-03-09T00:00:00"/>
    <s v="Drink"/>
    <n v="120"/>
    <n v="0"/>
    <s v="Coffee"/>
    <s v="Dining Out"/>
    <s v="Expense"/>
    <s v="Mar-2024"/>
    <x v="8"/>
  </r>
  <r>
    <d v="2024-03-09T00:00:00"/>
    <s v="Green's"/>
    <n v="3576"/>
    <n v="0"/>
    <s v="Groceries"/>
    <s v="Living Expenses"/>
    <s v="Expense"/>
    <s v="Mar-2024"/>
    <x v="8"/>
  </r>
  <r>
    <d v="2024-03-12T00:00:00"/>
    <s v="Power source"/>
    <n v="1250.4000000000001"/>
    <n v="0"/>
    <s v="Gas/Electrics"/>
    <s v="Living Expenses"/>
    <s v="Expense"/>
    <s v="Mar-2024"/>
    <x v="9"/>
  </r>
  <r>
    <d v="2024-03-12T00:00:00"/>
    <s v="Drink"/>
    <n v="120"/>
    <n v="0"/>
    <s v="Coffee"/>
    <s v="Dining Out"/>
    <s v="Expense"/>
    <s v="Mar-2024"/>
    <x v="9"/>
  </r>
  <r>
    <d v="2024-03-13T00:00:00"/>
    <s v="Drink"/>
    <n v="120"/>
    <n v="0"/>
    <s v="Coffee"/>
    <s v="Dining Out"/>
    <s v="Expense"/>
    <s v="Mar-2024"/>
    <x v="9"/>
  </r>
  <r>
    <d v="2024-03-14T00:00:00"/>
    <s v="Fuel"/>
    <n v="1893.6"/>
    <n v="0"/>
    <s v="Fueling"/>
    <s v="Transport"/>
    <s v="Expense"/>
    <s v="Mar-2024"/>
    <x v="9"/>
  </r>
  <r>
    <d v="2024-03-14T00:00:00"/>
    <s v="Drink"/>
    <n v="120"/>
    <n v="0"/>
    <s v="Coffee"/>
    <s v="Dining Out"/>
    <s v="Expense"/>
    <s v="Mar-2024"/>
    <x v="9"/>
  </r>
  <r>
    <d v="2024-03-15T00:00:00"/>
    <s v="Drink"/>
    <n v="120"/>
    <n v="0"/>
    <s v="Coffee"/>
    <s v="Dining Out"/>
    <s v="Expense"/>
    <s v="Mar-2024"/>
    <x v="9"/>
  </r>
  <r>
    <d v="2024-03-16T00:00:00"/>
    <s v="Green's"/>
    <n v="3288"/>
    <n v="0"/>
    <s v="Groceries"/>
    <s v="Living Expenses"/>
    <s v="Expense"/>
    <s v="Mar-2024"/>
    <x v="9"/>
  </r>
  <r>
    <d v="2024-03-16T00:00:00"/>
    <s v="Drink"/>
    <n v="120"/>
    <n v="0"/>
    <s v="Coffee"/>
    <s v="Dining Out"/>
    <s v="Expense"/>
    <s v="Mar-2024"/>
    <x v="9"/>
  </r>
  <r>
    <d v="2024-03-17T00:00:00"/>
    <s v="Drink"/>
    <n v="120"/>
    <n v="0"/>
    <s v="Coffee"/>
    <s v="Dining Out"/>
    <s v="Expense"/>
    <s v="Mar-2024"/>
    <x v="9"/>
  </r>
  <r>
    <d v="2024-03-17T00:00:00"/>
    <s v="Cinemas"/>
    <n v="1003.2"/>
    <n v="0"/>
    <s v="Entertainment"/>
    <s v="Discretionary"/>
    <s v="Expense"/>
    <s v="Mar-2024"/>
    <x v="9"/>
  </r>
  <r>
    <d v="2024-03-17T00:00:00"/>
    <s v="Myntra Accesories"/>
    <n v="2397.6"/>
    <n v="0"/>
    <s v="Clothes"/>
    <s v="Discretionary"/>
    <s v="Expense"/>
    <s v="Mar-2024"/>
    <x v="9"/>
  </r>
  <r>
    <d v="2024-03-17T00:00:00"/>
    <s v="Swiggy"/>
    <n v="1296"/>
    <n v="0"/>
    <s v="Restaurant"/>
    <s v="Dining Out"/>
    <s v="Expense"/>
    <s v="Mar-2024"/>
    <x v="9"/>
  </r>
  <r>
    <d v="2024-03-18T00:00:00"/>
    <s v="Ola"/>
    <n v="720"/>
    <n v="0"/>
    <s v="Taxi"/>
    <s v="Transport"/>
    <s v="Expense"/>
    <s v="Mar-2024"/>
    <x v="10"/>
  </r>
  <r>
    <d v="2024-03-19T00:00:00"/>
    <s v="Onlne earning"/>
    <n v="0"/>
    <n v="24000"/>
    <s v="YouTube"/>
    <s v="Passive"/>
    <s v="Income"/>
    <s v="Mar-2024"/>
    <x v="10"/>
  </r>
  <r>
    <d v="2024-03-19T00:00:00"/>
    <s v="Drink"/>
    <n v="120"/>
    <n v="0"/>
    <s v="Coffee"/>
    <s v="Dining Out"/>
    <s v="Expense"/>
    <s v="Mar-2024"/>
    <x v="10"/>
  </r>
  <r>
    <d v="2024-03-20T00:00:00"/>
    <s v="Drink"/>
    <n v="120"/>
    <n v="0"/>
    <s v="Coffee"/>
    <s v="Dining Out"/>
    <s v="Expense"/>
    <s v="Mar-2024"/>
    <x v="10"/>
  </r>
  <r>
    <d v="2024-03-20T00:00:00"/>
    <s v="Taken medication"/>
    <n v="1800"/>
    <n v="0"/>
    <s v="Doctor"/>
    <s v="Medical"/>
    <s v="Expense"/>
    <s v="Mar-2024"/>
    <x v="10"/>
  </r>
  <r>
    <d v="2024-03-20T00:00:00"/>
    <s v="Phone"/>
    <n v="960"/>
    <n v="0"/>
    <s v="Phone"/>
    <s v="Living Expenses"/>
    <s v="Expense"/>
    <s v="Mar-2024"/>
    <x v="10"/>
  </r>
  <r>
    <d v="2024-03-21T00:00:00"/>
    <s v="Family and Friends surprises"/>
    <n v="1123.2"/>
    <n v="0"/>
    <s v="Gifts"/>
    <s v="Discretionary"/>
    <s v="Expense"/>
    <s v="Mar-2024"/>
    <x v="10"/>
  </r>
  <r>
    <d v="2024-03-21T00:00:00"/>
    <s v="Online streaming"/>
    <n v="840"/>
    <n v="0"/>
    <s v="Entertainment"/>
    <s v="Discretionary"/>
    <s v="Expense"/>
    <s v="Mar-2024"/>
    <x v="10"/>
  </r>
  <r>
    <d v="2024-03-21T00:00:00"/>
    <s v="Drink"/>
    <n v="120"/>
    <n v="0"/>
    <s v="Coffee"/>
    <s v="Dining Out"/>
    <s v="Expense"/>
    <s v="Mar-2024"/>
    <x v="10"/>
  </r>
  <r>
    <d v="2024-03-22T00:00:00"/>
    <s v="Drink"/>
    <n v="120"/>
    <n v="0"/>
    <s v="Coffee"/>
    <s v="Dining Out"/>
    <s v="Expense"/>
    <s v="Mar-2024"/>
    <x v="10"/>
  </r>
  <r>
    <d v="2024-03-23T00:00:00"/>
    <s v="Drink"/>
    <n v="120"/>
    <n v="0"/>
    <s v="Coffee"/>
    <s v="Dining Out"/>
    <s v="Expense"/>
    <s v="Mar-2024"/>
    <x v="10"/>
  </r>
  <r>
    <d v="2024-03-23T00:00:00"/>
    <s v="Green's"/>
    <n v="4125.6000000000004"/>
    <n v="0"/>
    <s v="Groceries"/>
    <s v="Living Expenses"/>
    <s v="Expense"/>
    <s v="Mar-2024"/>
    <x v="10"/>
  </r>
  <r>
    <d v="2024-03-24T00:00:00"/>
    <s v="Office Lunch"/>
    <n v="936"/>
    <n v="0"/>
    <s v="Restaurant"/>
    <s v="Dining Out"/>
    <s v="Expense"/>
    <s v="Mar-2024"/>
    <x v="10"/>
  </r>
  <r>
    <d v="2024-03-25T00:00:00"/>
    <s v="Evening snacks"/>
    <n v="336"/>
    <n v="0"/>
    <s v="Restaurant"/>
    <s v="Dining Out"/>
    <s v="Expense"/>
    <s v="Mar-2024"/>
    <x v="11"/>
  </r>
  <r>
    <d v="2024-03-26T00:00:00"/>
    <s v="Orphanage"/>
    <n v="1320"/>
    <n v="0"/>
    <s v="Donation"/>
    <s v="Charity"/>
    <s v="Expense"/>
    <s v="Mar-2024"/>
    <x v="11"/>
  </r>
  <r>
    <d v="2024-03-26T00:00:00"/>
    <s v="Fuel"/>
    <n v="1560"/>
    <n v="0"/>
    <s v="Fueling"/>
    <s v="Transport"/>
    <s v="Expense"/>
    <s v="Mar-2024"/>
    <x v="11"/>
  </r>
  <r>
    <d v="2024-03-26T00:00:00"/>
    <s v="Drink"/>
    <n v="120"/>
    <n v="0"/>
    <s v="Coffee"/>
    <s v="Dining Out"/>
    <s v="Expense"/>
    <s v="Mar-2024"/>
    <x v="11"/>
  </r>
  <r>
    <d v="2024-03-27T00:00:00"/>
    <s v="Drink"/>
    <n v="120"/>
    <n v="0"/>
    <s v="Coffee"/>
    <s v="Dining Out"/>
    <s v="Expense"/>
    <s v="Mar-2024"/>
    <x v="11"/>
  </r>
  <r>
    <d v="2024-03-28T00:00:00"/>
    <s v="Drink"/>
    <n v="120"/>
    <n v="0"/>
    <s v="Coffee"/>
    <s v="Dining Out"/>
    <s v="Expense"/>
    <s v="Mar-2024"/>
    <x v="11"/>
  </r>
  <r>
    <d v="2024-03-29T00:00:00"/>
    <s v="Drink"/>
    <n v="120"/>
    <n v="0"/>
    <s v="Coffee"/>
    <s v="Dining Out"/>
    <s v="Expense"/>
    <s v="Mar-2024"/>
    <x v="11"/>
  </r>
  <r>
    <d v="2024-03-30T00:00:00"/>
    <s v="Drink"/>
    <n v="120"/>
    <n v="0"/>
    <s v="Coffee"/>
    <s v="Dining Out"/>
    <s v="Expense"/>
    <s v="Mar-2024"/>
    <x v="11"/>
  </r>
  <r>
    <d v="2024-03-30T00:00:00"/>
    <s v="Green's"/>
    <n v="5016"/>
    <n v="0"/>
    <s v="Groceries"/>
    <s v="Living Expenses"/>
    <s v="Expense"/>
    <s v="Mar-2024"/>
    <x v="11"/>
  </r>
  <r>
    <d v="2024-03-31T00:00:00"/>
    <s v="Trainers"/>
    <n v="3048"/>
    <n v="0"/>
    <s v="Clothes"/>
    <s v="Discretionary"/>
    <s v="Expense"/>
    <s v="Mar-2024"/>
    <x v="11"/>
  </r>
  <r>
    <d v="2024-03-31T00:00:00"/>
    <s v="Decathlon"/>
    <n v="4252.8"/>
    <n v="0"/>
    <s v="Clothes"/>
    <s v="Discretionary"/>
    <s v="Expense"/>
    <s v="Mar-2024"/>
    <x v="11"/>
  </r>
  <r>
    <d v="2024-04-01T00:00:00"/>
    <s v="Zara Clothes"/>
    <n v="3530.4"/>
    <n v="0"/>
    <s v="Clothes"/>
    <s v="Discretionary"/>
    <s v="Expense"/>
    <s v="Apr-2024"/>
    <x v="12"/>
  </r>
  <r>
    <d v="2024-04-01T00:00:00"/>
    <s v="Ola"/>
    <n v="600"/>
    <n v="0"/>
    <s v="Taxi"/>
    <s v="Transport"/>
    <s v="Expense"/>
    <s v="Apr-2024"/>
    <x v="12"/>
  </r>
  <r>
    <d v="2024-04-02T00:00:00"/>
    <s v="Foodary"/>
    <n v="360"/>
    <n v="0"/>
    <s v="Restaurant"/>
    <s v="Dining Out"/>
    <s v="Expense"/>
    <s v="Apr-2024"/>
    <x v="12"/>
  </r>
  <r>
    <d v="2024-04-03T00:00:00"/>
    <s v="Drink"/>
    <n v="120"/>
    <n v="0"/>
    <s v="Coffee"/>
    <s v="Dining Out"/>
    <s v="Expense"/>
    <s v="Apr-2024"/>
    <x v="12"/>
  </r>
  <r>
    <d v="2024-04-04T00:00:00"/>
    <s v="Drink"/>
    <n v="120"/>
    <n v="0"/>
    <s v="Coffee"/>
    <s v="Dining Out"/>
    <s v="Expense"/>
    <s v="Apr-2024"/>
    <x v="12"/>
  </r>
  <r>
    <d v="2024-04-05T00:00:00"/>
    <s v="Nextleap DAF"/>
    <n v="0"/>
    <n v="120000"/>
    <s v="Data with Decision"/>
    <s v="Salary"/>
    <s v="Income"/>
    <s v="Apr-2024"/>
    <x v="12"/>
  </r>
  <r>
    <d v="2024-04-05T00:00:00"/>
    <s v="Drink"/>
    <n v="120"/>
    <n v="0"/>
    <s v="Coffee"/>
    <s v="Dining Out"/>
    <s v="Expense"/>
    <s v="Apr-2024"/>
    <x v="12"/>
  </r>
  <r>
    <d v="2024-04-06T00:00:00"/>
    <s v="Flat Expenses"/>
    <n v="21600"/>
    <n v="0"/>
    <s v="Rent"/>
    <s v="Living Expenses"/>
    <s v="Expense"/>
    <s v="Apr-2024"/>
    <x v="12"/>
  </r>
  <r>
    <d v="2024-04-06T00:00:00"/>
    <s v="EMI"/>
    <n v="3600"/>
    <n v="0"/>
    <s v="Cash loan"/>
    <s v="Transport"/>
    <s v="Expense"/>
    <s v="Apr-2024"/>
    <x v="12"/>
  </r>
  <r>
    <d v="2024-04-06T00:00:00"/>
    <s v="Drink"/>
    <n v="120"/>
    <n v="0"/>
    <s v="Coffee"/>
    <s v="Dining Out"/>
    <s v="Expense"/>
    <s v="Apr-2024"/>
    <x v="12"/>
  </r>
  <r>
    <d v="2024-04-07T00:00:00"/>
    <s v="Drink"/>
    <n v="120"/>
    <n v="0"/>
    <s v="Coffee"/>
    <s v="Dining Out"/>
    <s v="Expense"/>
    <s v="Apr-2024"/>
    <x v="12"/>
  </r>
  <r>
    <d v="2024-04-08T00:00:00"/>
    <s v="Drink"/>
    <n v="120"/>
    <n v="0"/>
    <s v="Coffee"/>
    <s v="Dining Out"/>
    <s v="Expense"/>
    <s v="Apr-2024"/>
    <x v="13"/>
  </r>
  <r>
    <d v="2024-04-09T00:00:00"/>
    <s v="Drink"/>
    <n v="120"/>
    <n v="0"/>
    <s v="Coffee"/>
    <s v="Dining Out"/>
    <s v="Expense"/>
    <s v="Apr-2024"/>
    <x v="13"/>
  </r>
  <r>
    <d v="2024-04-09T00:00:00"/>
    <s v="Green's"/>
    <n v="3796.8"/>
    <n v="0"/>
    <s v="Groceries"/>
    <s v="Living Expenses"/>
    <s v="Expense"/>
    <s v="Apr-2024"/>
    <x v="13"/>
  </r>
  <r>
    <d v="2024-04-12T00:00:00"/>
    <s v="Power source"/>
    <n v="1276.8"/>
    <n v="0"/>
    <s v="Gas/Electrics"/>
    <s v="Living Expenses"/>
    <s v="Expense"/>
    <s v="Apr-2024"/>
    <x v="13"/>
  </r>
  <r>
    <d v="2024-04-12T00:00:00"/>
    <s v="Drink"/>
    <n v="120"/>
    <n v="0"/>
    <s v="Coffee"/>
    <s v="Dining Out"/>
    <s v="Expense"/>
    <s v="Apr-2024"/>
    <x v="13"/>
  </r>
  <r>
    <d v="2024-04-13T00:00:00"/>
    <s v="Drink"/>
    <n v="120"/>
    <n v="0"/>
    <s v="Coffee"/>
    <s v="Dining Out"/>
    <s v="Expense"/>
    <s v="Apr-2024"/>
    <x v="13"/>
  </r>
  <r>
    <d v="2024-04-14T00:00:00"/>
    <s v="Fuel"/>
    <n v="1917.6"/>
    <n v="0"/>
    <s v="Fueling"/>
    <s v="Transport"/>
    <s v="Expense"/>
    <s v="Apr-2024"/>
    <x v="13"/>
  </r>
  <r>
    <d v="2024-04-14T00:00:00"/>
    <s v="Drink"/>
    <n v="120"/>
    <n v="0"/>
    <s v="Coffee"/>
    <s v="Dining Out"/>
    <s v="Expense"/>
    <s v="Apr-2024"/>
    <x v="13"/>
  </r>
  <r>
    <d v="2024-04-15T00:00:00"/>
    <s v="Drink"/>
    <n v="120"/>
    <n v="0"/>
    <s v="Coffee"/>
    <s v="Dining Out"/>
    <s v="Expense"/>
    <s v="Apr-2024"/>
    <x v="14"/>
  </r>
  <r>
    <d v="2024-04-16T00:00:00"/>
    <s v="Green's"/>
    <n v="2352"/>
    <n v="0"/>
    <s v="Groceries"/>
    <s v="Living Expenses"/>
    <s v="Expense"/>
    <s v="Apr-2024"/>
    <x v="14"/>
  </r>
  <r>
    <d v="2024-04-16T00:00:00"/>
    <s v="Drink"/>
    <n v="120"/>
    <n v="0"/>
    <s v="Coffee"/>
    <s v="Dining Out"/>
    <s v="Expense"/>
    <s v="Apr-2024"/>
    <x v="14"/>
  </r>
  <r>
    <d v="2024-04-17T00:00:00"/>
    <s v="Drink"/>
    <n v="120"/>
    <n v="0"/>
    <s v="Coffee"/>
    <s v="Dining Out"/>
    <s v="Expense"/>
    <s v="Apr-2024"/>
    <x v="14"/>
  </r>
  <r>
    <d v="2024-04-17T00:00:00"/>
    <s v="Cinemas"/>
    <n v="1027.2"/>
    <n v="0"/>
    <s v="Entertainment"/>
    <s v="Discretionary"/>
    <s v="Expense"/>
    <s v="Apr-2024"/>
    <x v="14"/>
  </r>
  <r>
    <d v="2024-04-17T00:00:00"/>
    <s v="Myntra Accesories"/>
    <n v="2421.6"/>
    <n v="0"/>
    <s v="Clothes"/>
    <s v="Discretionary"/>
    <s v="Expense"/>
    <s v="Apr-2024"/>
    <x v="14"/>
  </r>
  <r>
    <d v="2024-04-17T00:00:00"/>
    <s v="Swiggy"/>
    <n v="1317.6"/>
    <n v="0"/>
    <s v="Restaurant"/>
    <s v="Dining Out"/>
    <s v="Expense"/>
    <s v="Apr-2024"/>
    <x v="14"/>
  </r>
  <r>
    <d v="2024-04-18T00:00:00"/>
    <s v="Ola"/>
    <n v="744"/>
    <n v="0"/>
    <s v="Taxi"/>
    <s v="Transport"/>
    <s v="Expense"/>
    <s v="Apr-2024"/>
    <x v="14"/>
  </r>
  <r>
    <d v="2024-04-19T00:00:00"/>
    <s v="Onlne earning"/>
    <n v="0"/>
    <n v="56160"/>
    <s v="YouTube"/>
    <s v="Passive"/>
    <s v="Income"/>
    <s v="Apr-2024"/>
    <x v="14"/>
  </r>
  <r>
    <d v="2024-04-19T00:00:00"/>
    <s v="Drink"/>
    <n v="120"/>
    <n v="0"/>
    <s v="Coffee"/>
    <s v="Dining Out"/>
    <s v="Expense"/>
    <s v="Apr-2024"/>
    <x v="14"/>
  </r>
  <r>
    <d v="2024-04-20T00:00:00"/>
    <s v="Drink"/>
    <n v="120"/>
    <n v="0"/>
    <s v="Coffee"/>
    <s v="Dining Out"/>
    <s v="Expense"/>
    <s v="Apr-2024"/>
    <x v="14"/>
  </r>
  <r>
    <d v="2024-04-20T00:00:00"/>
    <s v="Phone"/>
    <n v="960"/>
    <n v="0"/>
    <s v="Phone"/>
    <s v="Living Expenses"/>
    <s v="Expense"/>
    <s v="Apr-2024"/>
    <x v="14"/>
  </r>
  <r>
    <d v="2024-04-21T00:00:00"/>
    <s v="Family and Friends surprises"/>
    <n v="1149.5999999999999"/>
    <n v="0"/>
    <s v="Gifts"/>
    <s v="Discretionary"/>
    <s v="Expense"/>
    <s v="Apr-2024"/>
    <x v="14"/>
  </r>
  <r>
    <d v="2024-04-21T00:00:00"/>
    <s v="Online streaming"/>
    <n v="840"/>
    <n v="0"/>
    <s v="Entertainment"/>
    <s v="Discretionary"/>
    <s v="Expense"/>
    <s v="Apr-2024"/>
    <x v="14"/>
  </r>
  <r>
    <d v="2024-04-21T00:00:00"/>
    <s v="Drink"/>
    <n v="120"/>
    <n v="0"/>
    <s v="Coffee"/>
    <s v="Dining Out"/>
    <s v="Expense"/>
    <s v="Apr-2024"/>
    <x v="14"/>
  </r>
  <r>
    <d v="2024-04-22T00:00:00"/>
    <s v="Drink"/>
    <n v="120"/>
    <n v="0"/>
    <s v="Coffee"/>
    <s v="Dining Out"/>
    <s v="Expense"/>
    <s v="Apr-2024"/>
    <x v="15"/>
  </r>
  <r>
    <d v="2024-04-23T00:00:00"/>
    <s v="Drink"/>
    <n v="120"/>
    <n v="0"/>
    <s v="Coffee"/>
    <s v="Dining Out"/>
    <s v="Expense"/>
    <s v="Apr-2024"/>
    <x v="15"/>
  </r>
  <r>
    <d v="2024-04-23T00:00:00"/>
    <s v="Green's"/>
    <n v="4152"/>
    <n v="0"/>
    <s v="Groceries"/>
    <s v="Living Expenses"/>
    <s v="Expense"/>
    <s v="Apr-2024"/>
    <x v="15"/>
  </r>
  <r>
    <d v="2024-04-24T00:00:00"/>
    <s v="Office Lunch"/>
    <n v="962.4"/>
    <n v="0"/>
    <s v="Restaurant"/>
    <s v="Dining Out"/>
    <s v="Expense"/>
    <s v="Apr-2024"/>
    <x v="15"/>
  </r>
  <r>
    <d v="2024-04-25T00:00:00"/>
    <s v="Evening snacks"/>
    <n v="362.4"/>
    <n v="0"/>
    <s v="Restaurant"/>
    <s v="Dining Out"/>
    <s v="Expense"/>
    <s v="Apr-2024"/>
    <x v="15"/>
  </r>
  <r>
    <d v="2024-04-26T00:00:00"/>
    <s v="Orphanage"/>
    <n v="1320"/>
    <n v="0"/>
    <s v="Donation"/>
    <s v="Charity"/>
    <s v="Expense"/>
    <s v="Apr-2024"/>
    <x v="15"/>
  </r>
  <r>
    <d v="2024-04-26T00:00:00"/>
    <s v="Fuel"/>
    <n v="1584"/>
    <n v="0"/>
    <s v="Fueling"/>
    <s v="Transport"/>
    <s v="Expense"/>
    <s v="Apr-2024"/>
    <x v="15"/>
  </r>
  <r>
    <d v="2024-04-26T00:00:00"/>
    <s v="Drink"/>
    <n v="120"/>
    <n v="0"/>
    <s v="Coffee"/>
    <s v="Dining Out"/>
    <s v="Expense"/>
    <s v="Apr-2024"/>
    <x v="15"/>
  </r>
  <r>
    <d v="2024-04-27T00:00:00"/>
    <s v="Drink"/>
    <n v="120"/>
    <n v="0"/>
    <s v="Coffee"/>
    <s v="Dining Out"/>
    <s v="Expense"/>
    <s v="Apr-2024"/>
    <x v="15"/>
  </r>
  <r>
    <d v="2024-04-28T00:00:00"/>
    <s v="Drink"/>
    <n v="120"/>
    <n v="0"/>
    <s v="Coffee"/>
    <s v="Dining Out"/>
    <s v="Expense"/>
    <s v="Apr-2024"/>
    <x v="15"/>
  </r>
  <r>
    <d v="2024-04-29T00:00:00"/>
    <s v="Drink"/>
    <n v="120"/>
    <n v="0"/>
    <s v="Coffee"/>
    <s v="Dining Out"/>
    <s v="Expense"/>
    <s v="Apr-2024"/>
    <x v="16"/>
  </r>
  <r>
    <d v="2024-04-30T00:00:00"/>
    <s v="Drink"/>
    <n v="120"/>
    <n v="0"/>
    <s v="Coffee"/>
    <s v="Dining Out"/>
    <s v="Expense"/>
    <s v="Apr-2024"/>
    <x v="16"/>
  </r>
  <r>
    <d v="2024-04-30T00:00:00"/>
    <s v="Green's"/>
    <n v="3957.6"/>
    <n v="0"/>
    <s v="Groceries"/>
    <s v="Living Expenses"/>
    <s v="Expense"/>
    <s v="Apr-2024"/>
    <x v="16"/>
  </r>
  <r>
    <d v="2024-05-01T00:00:00"/>
    <s v="Trainers"/>
    <n v="3069.6"/>
    <n v="0"/>
    <s v="Clothes"/>
    <s v="Discretionary"/>
    <s v="Expense"/>
    <s v="May-2024"/>
    <x v="16"/>
  </r>
  <r>
    <d v="2024-05-01T00:00:00"/>
    <s v="Clubing"/>
    <n v="7200"/>
    <n v="0"/>
    <s v="Entertainment"/>
    <s v="Discretionary"/>
    <s v="Expense"/>
    <s v="May-2024"/>
    <x v="16"/>
  </r>
  <r>
    <d v="2024-05-02T00:00:00"/>
    <s v="Zara Clothes"/>
    <n v="3554.4"/>
    <n v="0"/>
    <s v="Clothes"/>
    <s v="Discretionary"/>
    <s v="Expense"/>
    <s v="May-2024"/>
    <x v="16"/>
  </r>
  <r>
    <d v="2024-05-02T00:00:00"/>
    <s v="Ola"/>
    <n v="626.4"/>
    <n v="0"/>
    <s v="Taxi"/>
    <s v="Transport"/>
    <s v="Expense"/>
    <s v="May-2024"/>
    <x v="16"/>
  </r>
  <r>
    <d v="2024-05-03T00:00:00"/>
    <s v="Foodary"/>
    <n v="360"/>
    <n v="0"/>
    <s v="Restaurant"/>
    <s v="Dining Out"/>
    <s v="Expense"/>
    <s v="May-2024"/>
    <x v="16"/>
  </r>
  <r>
    <d v="2024-05-03T00:00:00"/>
    <s v="Drink"/>
    <n v="120"/>
    <n v="0"/>
    <s v="Coffee"/>
    <s v="Dining Out"/>
    <s v="Expense"/>
    <s v="May-2024"/>
    <x v="16"/>
  </r>
  <r>
    <d v="2024-05-04T00:00:00"/>
    <s v="Drink"/>
    <n v="120"/>
    <n v="0"/>
    <s v="Coffee"/>
    <s v="Dining Out"/>
    <s v="Expense"/>
    <s v="May-2024"/>
    <x v="16"/>
  </r>
  <r>
    <d v="2024-05-06T00:00:00"/>
    <s v="Drink"/>
    <n v="120"/>
    <n v="0"/>
    <s v="Coffee"/>
    <s v="Dining Out"/>
    <s v="Expense"/>
    <s v="May-2024"/>
    <x v="17"/>
  </r>
  <r>
    <d v="2024-05-07T00:00:00"/>
    <s v="Nextleap DAF"/>
    <n v="0"/>
    <n v="120000"/>
    <s v="Data with Decision"/>
    <s v="Salary"/>
    <s v="Income"/>
    <s v="May-2024"/>
    <x v="17"/>
  </r>
  <r>
    <d v="2024-05-07T00:00:00"/>
    <s v="Flat Expenses"/>
    <n v="21600"/>
    <n v="0"/>
    <s v="Rent"/>
    <s v="Living Expenses"/>
    <s v="Expense"/>
    <s v="May-2024"/>
    <x v="17"/>
  </r>
  <r>
    <d v="2024-05-07T00:00:00"/>
    <s v="EMI"/>
    <n v="3600"/>
    <n v="0"/>
    <s v="Cash loan"/>
    <s v="Transport"/>
    <s v="Expense"/>
    <s v="May-2024"/>
    <x v="17"/>
  </r>
  <r>
    <d v="2024-05-07T00:00:00"/>
    <s v="Drink"/>
    <n v="120"/>
    <n v="0"/>
    <s v="Coffee"/>
    <s v="Dining Out"/>
    <s v="Expense"/>
    <s v="May-2024"/>
    <x v="17"/>
  </r>
  <r>
    <d v="2024-05-08T00:00:00"/>
    <s v="Drink"/>
    <n v="120"/>
    <n v="0"/>
    <s v="Coffee"/>
    <s v="Dining Out"/>
    <s v="Expense"/>
    <s v="May-2024"/>
    <x v="17"/>
  </r>
  <r>
    <d v="2024-05-09T00:00:00"/>
    <s v="Drink"/>
    <n v="120"/>
    <n v="0"/>
    <s v="Coffee"/>
    <s v="Dining Out"/>
    <s v="Expense"/>
    <s v="May-2024"/>
    <x v="17"/>
  </r>
  <r>
    <d v="2024-05-10T00:00:00"/>
    <s v="Drink"/>
    <n v="120"/>
    <n v="0"/>
    <s v="Coffee"/>
    <s v="Dining Out"/>
    <s v="Expense"/>
    <s v="May-2024"/>
    <x v="17"/>
  </r>
  <r>
    <d v="2024-05-10T00:00:00"/>
    <s v="Green's"/>
    <n v="4080"/>
    <n v="0"/>
    <s v="Groceries"/>
    <s v="Living Expenses"/>
    <s v="Expense"/>
    <s v="May-2024"/>
    <x v="17"/>
  </r>
  <r>
    <d v="2024-05-13T00:00:00"/>
    <s v="Power source"/>
    <n v="1298.4000000000001"/>
    <n v="0"/>
    <s v="Gas/Electrics"/>
    <s v="Living Expenses"/>
    <s v="Expense"/>
    <s v="May-2024"/>
    <x v="18"/>
  </r>
  <r>
    <d v="2024-05-13T00:00:00"/>
    <s v="Drink"/>
    <n v="120"/>
    <n v="0"/>
    <s v="Coffee"/>
    <s v="Dining Out"/>
    <s v="Expense"/>
    <s v="May-2024"/>
    <x v="18"/>
  </r>
  <r>
    <d v="2024-05-14T00:00:00"/>
    <s v="Drink"/>
    <n v="120"/>
    <n v="0"/>
    <s v="Coffee"/>
    <s v="Dining Out"/>
    <s v="Expense"/>
    <s v="May-2024"/>
    <x v="18"/>
  </r>
  <r>
    <d v="2024-05-15T00:00:00"/>
    <s v="Fuel"/>
    <n v="1944"/>
    <n v="0"/>
    <s v="Fueling"/>
    <s v="Transport"/>
    <s v="Expense"/>
    <s v="May-2024"/>
    <x v="18"/>
  </r>
  <r>
    <d v="2024-05-15T00:00:00"/>
    <s v="Drink"/>
    <n v="120"/>
    <n v="0"/>
    <s v="Coffee"/>
    <s v="Dining Out"/>
    <s v="Expense"/>
    <s v="May-2024"/>
    <x v="18"/>
  </r>
  <r>
    <d v="2024-05-16T00:00:00"/>
    <s v="Drink"/>
    <n v="120"/>
    <n v="0"/>
    <s v="Coffee"/>
    <s v="Dining Out"/>
    <s v="Expense"/>
    <s v="May-2024"/>
    <x v="18"/>
  </r>
  <r>
    <d v="2024-05-17T00:00:00"/>
    <s v="Green's"/>
    <n v="3338.4"/>
    <n v="0"/>
    <s v="Groceries"/>
    <s v="Living Expenses"/>
    <s v="Expense"/>
    <s v="May-2024"/>
    <x v="18"/>
  </r>
  <r>
    <d v="2024-05-17T00:00:00"/>
    <s v="Drink"/>
    <n v="120"/>
    <n v="0"/>
    <s v="Coffee"/>
    <s v="Dining Out"/>
    <s v="Expense"/>
    <s v="May-2024"/>
    <x v="18"/>
  </r>
  <r>
    <d v="2024-05-18T00:00:00"/>
    <s v="Drink"/>
    <n v="120"/>
    <n v="0"/>
    <s v="Coffee"/>
    <s v="Dining Out"/>
    <s v="Expense"/>
    <s v="May-2024"/>
    <x v="18"/>
  </r>
  <r>
    <d v="2024-05-18T00:00:00"/>
    <s v="Cinemas"/>
    <n v="1053.5999999999999"/>
    <n v="0"/>
    <s v="Entertainment"/>
    <s v="Discretionary"/>
    <s v="Expense"/>
    <s v="May-2024"/>
    <x v="18"/>
  </r>
  <r>
    <d v="2024-05-18T00:00:00"/>
    <s v="Myntra Accesories"/>
    <n v="2443.1999999999998"/>
    <n v="0"/>
    <s v="Clothes"/>
    <s v="Discretionary"/>
    <s v="Expense"/>
    <s v="May-2024"/>
    <x v="18"/>
  </r>
  <r>
    <d v="2024-05-18T00:00:00"/>
    <s v="Swiggy"/>
    <n v="1341.6"/>
    <n v="0"/>
    <s v="Restaurant"/>
    <s v="Dining Out"/>
    <s v="Expense"/>
    <s v="May-2024"/>
    <x v="18"/>
  </r>
  <r>
    <d v="2024-05-19T00:00:00"/>
    <s v="Ola"/>
    <n v="768"/>
    <n v="0"/>
    <s v="Taxi"/>
    <s v="Transport"/>
    <s v="Expense"/>
    <s v="May-2024"/>
    <x v="18"/>
  </r>
  <r>
    <d v="2024-05-20T00:00:00"/>
    <s v="Onlne earning"/>
    <n v="0"/>
    <n v="24000"/>
    <s v="YouTube"/>
    <s v="Passive"/>
    <s v="Income"/>
    <s v="May-2024"/>
    <x v="19"/>
  </r>
  <r>
    <d v="2024-05-20T00:00:00"/>
    <s v="Drink"/>
    <n v="120"/>
    <n v="0"/>
    <s v="Coffee"/>
    <s v="Dining Out"/>
    <s v="Expense"/>
    <s v="May-2024"/>
    <x v="19"/>
  </r>
  <r>
    <d v="2024-05-21T00:00:00"/>
    <s v="Drink"/>
    <n v="120"/>
    <n v="0"/>
    <s v="Coffee"/>
    <s v="Dining Out"/>
    <s v="Expense"/>
    <s v="May-2024"/>
    <x v="19"/>
  </r>
  <r>
    <d v="2024-05-21T00:00:00"/>
    <s v="Taken medication"/>
    <n v="1800"/>
    <n v="0"/>
    <s v="Doctor"/>
    <s v="Medical"/>
    <s v="Expense"/>
    <s v="May-2024"/>
    <x v="19"/>
  </r>
  <r>
    <d v="2024-05-21T00:00:00"/>
    <s v="Phone"/>
    <n v="960"/>
    <n v="0"/>
    <s v="Phone"/>
    <s v="Living Expenses"/>
    <s v="Expense"/>
    <s v="May-2024"/>
    <x v="19"/>
  </r>
  <r>
    <d v="2024-05-22T00:00:00"/>
    <s v="Family and Friends surprises"/>
    <n v="1176"/>
    <n v="0"/>
    <s v="Gifts"/>
    <s v="Discretionary"/>
    <s v="Expense"/>
    <s v="May-2024"/>
    <x v="19"/>
  </r>
  <r>
    <d v="2024-05-22T00:00:00"/>
    <s v="Online streaming"/>
    <n v="840"/>
    <n v="0"/>
    <s v="Entertainment"/>
    <s v="Discretionary"/>
    <s v="Expense"/>
    <s v="May-2024"/>
    <x v="19"/>
  </r>
  <r>
    <d v="2024-05-22T00:00:00"/>
    <s v="Drink"/>
    <n v="120"/>
    <n v="0"/>
    <s v="Coffee"/>
    <s v="Dining Out"/>
    <s v="Expense"/>
    <s v="May-2024"/>
    <x v="19"/>
  </r>
  <r>
    <d v="2024-05-23T00:00:00"/>
    <s v="Drink"/>
    <n v="120"/>
    <n v="0"/>
    <s v="Coffee"/>
    <s v="Dining Out"/>
    <s v="Expense"/>
    <s v="May-2024"/>
    <x v="19"/>
  </r>
  <r>
    <d v="2024-05-24T00:00:00"/>
    <s v="Drink"/>
    <n v="120"/>
    <n v="0"/>
    <s v="Coffee"/>
    <s v="Dining Out"/>
    <s v="Expense"/>
    <s v="May-2024"/>
    <x v="19"/>
  </r>
  <r>
    <d v="2024-05-24T00:00:00"/>
    <s v="Green's"/>
    <n v="4176"/>
    <n v="0"/>
    <s v="Groceries"/>
    <s v="Living Expenses"/>
    <s v="Expense"/>
    <s v="May-2024"/>
    <x v="19"/>
  </r>
  <r>
    <d v="2024-05-25T00:00:00"/>
    <s v="Office Lunch"/>
    <n v="986.4"/>
    <n v="0"/>
    <s v="Restaurant"/>
    <s v="Dining Out"/>
    <s v="Expense"/>
    <s v="May-2024"/>
    <x v="19"/>
  </r>
  <r>
    <d v="2024-05-26T00:00:00"/>
    <s v="Evening snacks"/>
    <n v="388.8"/>
    <n v="0"/>
    <s v="Restaurant"/>
    <s v="Dining Out"/>
    <s v="Expense"/>
    <s v="May-2024"/>
    <x v="19"/>
  </r>
  <r>
    <d v="2024-05-27T00:00:00"/>
    <s v="Orphanage"/>
    <n v="1320"/>
    <n v="0"/>
    <s v="Donation"/>
    <s v="Charity"/>
    <s v="Expense"/>
    <s v="May-2024"/>
    <x v="20"/>
  </r>
  <r>
    <d v="2024-05-27T00:00:00"/>
    <s v="Fuel"/>
    <n v="1608"/>
    <n v="0"/>
    <s v="Fueling"/>
    <s v="Transport"/>
    <s v="Expense"/>
    <s v="May-2024"/>
    <x v="20"/>
  </r>
  <r>
    <d v="2024-05-27T00:00:00"/>
    <s v="Drink"/>
    <n v="120"/>
    <n v="0"/>
    <s v="Coffee"/>
    <s v="Dining Out"/>
    <s v="Expense"/>
    <s v="May-2024"/>
    <x v="20"/>
  </r>
  <r>
    <d v="2024-05-28T00:00:00"/>
    <s v="Drink"/>
    <n v="120"/>
    <n v="0"/>
    <s v="Coffee"/>
    <s v="Dining Out"/>
    <s v="Expense"/>
    <s v="May-2024"/>
    <x v="20"/>
  </r>
  <r>
    <d v="2024-05-29T00:00:00"/>
    <s v="Drink"/>
    <n v="120"/>
    <n v="0"/>
    <s v="Coffee"/>
    <s v="Dining Out"/>
    <s v="Expense"/>
    <s v="May-2024"/>
    <x v="20"/>
  </r>
  <r>
    <d v="2024-05-30T00:00:00"/>
    <s v="Drink"/>
    <n v="120"/>
    <n v="0"/>
    <s v="Coffee"/>
    <s v="Dining Out"/>
    <s v="Expense"/>
    <s v="May-2024"/>
    <x v="20"/>
  </r>
  <r>
    <d v="2024-05-31T00:00:00"/>
    <s v="Drink"/>
    <n v="120"/>
    <n v="0"/>
    <s v="Coffee"/>
    <s v="Dining Out"/>
    <s v="Expense"/>
    <s v="May-2024"/>
    <x v="20"/>
  </r>
  <r>
    <d v="2024-05-31T00:00:00"/>
    <s v="Green's"/>
    <n v="3979.2"/>
    <n v="0"/>
    <s v="Groceries"/>
    <s v="Living Expenses"/>
    <s v="Expense"/>
    <s v="May-2024"/>
    <x v="20"/>
  </r>
  <r>
    <d v="2024-06-01T00:00:00"/>
    <s v="Trainers"/>
    <n v="3091.2"/>
    <n v="0"/>
    <s v="Clothes"/>
    <s v="Discretionary"/>
    <s v="Expense"/>
    <s v="Jun-2024"/>
    <x v="20"/>
  </r>
  <r>
    <d v="2024-06-01T00:00:00"/>
    <s v="Home décor"/>
    <n v="5640"/>
    <n v="0"/>
    <s v="Furnishings"/>
    <s v="Discretionary"/>
    <s v="Expense"/>
    <s v="Jun-2024"/>
    <x v="20"/>
  </r>
  <r>
    <d v="2024-06-02T00:00:00"/>
    <s v="Zara Clothes"/>
    <n v="3580.8"/>
    <n v="0"/>
    <s v="Clothes"/>
    <s v="Discretionary"/>
    <s v="Expense"/>
    <s v="Jun-2024"/>
    <x v="20"/>
  </r>
  <r>
    <d v="2024-06-02T00:00:00"/>
    <s v="Ola"/>
    <n v="652.79999999999995"/>
    <n v="0"/>
    <s v="Taxi"/>
    <s v="Transport"/>
    <s v="Expense"/>
    <s v="Jun-2024"/>
    <x v="20"/>
  </r>
  <r>
    <d v="2024-06-04T00:00:00"/>
    <s v="Foodary"/>
    <n v="360"/>
    <n v="0"/>
    <s v="Restaurant"/>
    <s v="Dining Out"/>
    <s v="Expense"/>
    <s v="Jun-2024"/>
    <x v="21"/>
  </r>
  <r>
    <d v="2024-06-03T00:00:00"/>
    <s v="Drink"/>
    <n v="120"/>
    <n v="0"/>
    <s v="Coffee"/>
    <s v="Dining Out"/>
    <s v="Expense"/>
    <s v="Jun-2024"/>
    <x v="21"/>
  </r>
  <r>
    <d v="2024-06-04T00:00:00"/>
    <s v="Drink"/>
    <n v="120"/>
    <n v="0"/>
    <s v="Coffee"/>
    <s v="Dining Out"/>
    <s v="Expense"/>
    <s v="Jun-2024"/>
    <x v="21"/>
  </r>
  <r>
    <d v="2024-06-05T00:00:00"/>
    <s v="Nextleap DAF"/>
    <n v="0"/>
    <n v="120000"/>
    <s v="Data with Decision"/>
    <s v="Salary"/>
    <s v="Income"/>
    <s v="Jun-2024"/>
    <x v="21"/>
  </r>
  <r>
    <d v="2024-06-07T00:00:00"/>
    <s v="Drink"/>
    <n v="120"/>
    <n v="0"/>
    <s v="Coffee"/>
    <s v="Dining Out"/>
    <s v="Expense"/>
    <s v="Jun-2024"/>
    <x v="21"/>
  </r>
  <r>
    <d v="2024-06-07T00:00:00"/>
    <s v="Flat Expenses"/>
    <n v="21600"/>
    <n v="0"/>
    <s v="Rent"/>
    <s v="Living Expenses"/>
    <s v="Expense"/>
    <s v="Jun-2024"/>
    <x v="21"/>
  </r>
  <r>
    <d v="2024-06-07T00:00:00"/>
    <s v="EMI"/>
    <n v="3600"/>
    <n v="0"/>
    <s v="Cash loan"/>
    <s v="Transport"/>
    <s v="Expense"/>
    <s v="Jun-2024"/>
    <x v="21"/>
  </r>
  <r>
    <d v="2024-06-07T00:00:00"/>
    <s v="Drink"/>
    <n v="120"/>
    <n v="0"/>
    <s v="Coffee"/>
    <s v="Dining Out"/>
    <s v="Expense"/>
    <s v="Jun-2024"/>
    <x v="21"/>
  </r>
  <r>
    <d v="2024-06-08T00:00:00"/>
    <s v="Drink"/>
    <n v="120"/>
    <n v="0"/>
    <s v="Coffee"/>
    <s v="Dining Out"/>
    <s v="Expense"/>
    <s v="Jun-2024"/>
    <x v="21"/>
  </r>
  <r>
    <d v="2024-06-09T00:00:00"/>
    <s v="Drink"/>
    <n v="120"/>
    <n v="0"/>
    <s v="Coffee"/>
    <s v="Dining Out"/>
    <s v="Expense"/>
    <s v="Jun-2024"/>
    <x v="21"/>
  </r>
  <r>
    <d v="2024-06-10T00:00:00"/>
    <s v="Drink"/>
    <n v="120"/>
    <n v="0"/>
    <s v="Coffee"/>
    <s v="Dining Out"/>
    <s v="Expense"/>
    <s v="Jun-2024"/>
    <x v="22"/>
  </r>
  <r>
    <d v="2024-06-10T00:00:00"/>
    <s v="Green's"/>
    <n v="2856"/>
    <n v="0"/>
    <s v="Groceries"/>
    <s v="Living Expenses"/>
    <s v="Expense"/>
    <s v="Jun-2024"/>
    <x v="22"/>
  </r>
  <r>
    <d v="2024-06-13T00:00:00"/>
    <s v="Power source"/>
    <n v="1320"/>
    <n v="0"/>
    <s v="Gas/Electrics"/>
    <s v="Living Expenses"/>
    <s v="Expense"/>
    <s v="Jun-2024"/>
    <x v="22"/>
  </r>
  <r>
    <d v="2024-06-13T00:00:00"/>
    <s v="Drink"/>
    <n v="120"/>
    <n v="0"/>
    <s v="Coffee"/>
    <s v="Dining Out"/>
    <s v="Expense"/>
    <s v="Jun-2024"/>
    <x v="22"/>
  </r>
  <r>
    <d v="2024-06-14T00:00:00"/>
    <s v="Drink"/>
    <n v="120"/>
    <n v="0"/>
    <s v="Coffee"/>
    <s v="Dining Out"/>
    <s v="Expense"/>
    <s v="Jun-2024"/>
    <x v="22"/>
  </r>
  <r>
    <d v="2024-06-15T00:00:00"/>
    <s v="Fuel"/>
    <n v="1970.4"/>
    <n v="0"/>
    <s v="Fueling"/>
    <s v="Transport"/>
    <s v="Expense"/>
    <s v="Jun-2024"/>
    <x v="22"/>
  </r>
  <r>
    <d v="2024-06-15T00:00:00"/>
    <s v="Drink"/>
    <n v="120"/>
    <n v="0"/>
    <s v="Coffee"/>
    <s v="Dining Out"/>
    <s v="Expense"/>
    <s v="Jun-2024"/>
    <x v="22"/>
  </r>
  <r>
    <d v="2024-06-16T00:00:00"/>
    <s v="Drink"/>
    <n v="120"/>
    <n v="0"/>
    <s v="Coffee"/>
    <s v="Dining Out"/>
    <s v="Expense"/>
    <s v="Jun-2024"/>
    <x v="22"/>
  </r>
  <r>
    <d v="2024-06-17T00:00:00"/>
    <s v="Green's"/>
    <n v="3364.8"/>
    <n v="0"/>
    <s v="Groceries"/>
    <s v="Living Expenses"/>
    <s v="Expense"/>
    <s v="Jun-2024"/>
    <x v="23"/>
  </r>
  <r>
    <d v="2024-06-17T00:00:00"/>
    <s v="Drink"/>
    <n v="120"/>
    <n v="0"/>
    <s v="Coffee"/>
    <s v="Dining Out"/>
    <s v="Expense"/>
    <s v="Jun-2024"/>
    <x v="23"/>
  </r>
  <r>
    <d v="2024-06-18T00:00:00"/>
    <s v="Drink"/>
    <n v="120"/>
    <n v="0"/>
    <s v="Coffee"/>
    <s v="Dining Out"/>
    <s v="Expense"/>
    <s v="Jun-2024"/>
    <x v="23"/>
  </r>
  <r>
    <d v="2024-06-18T00:00:00"/>
    <s v="Cinemas"/>
    <n v="1077.5999999999999"/>
    <n v="0"/>
    <s v="Entertainment"/>
    <s v="Discretionary"/>
    <s v="Expense"/>
    <s v="Jun-2024"/>
    <x v="23"/>
  </r>
  <r>
    <d v="2024-06-18T00:00:00"/>
    <s v="Myntra Accesories"/>
    <n v="2469.6"/>
    <n v="0"/>
    <s v="Clothes"/>
    <s v="Discretionary"/>
    <s v="Expense"/>
    <s v="Jun-2024"/>
    <x v="23"/>
  </r>
  <r>
    <d v="2024-06-18T00:00:00"/>
    <s v="Swiggy"/>
    <n v="1365.6"/>
    <n v="0"/>
    <s v="Restaurant"/>
    <s v="Dining Out"/>
    <s v="Expense"/>
    <s v="Jun-2024"/>
    <x v="23"/>
  </r>
  <r>
    <d v="2024-06-19T00:00:00"/>
    <s v="Ola"/>
    <n v="794.4"/>
    <n v="0"/>
    <s v="Taxi"/>
    <s v="Transport"/>
    <s v="Expense"/>
    <s v="Jun-2024"/>
    <x v="23"/>
  </r>
  <r>
    <d v="2024-06-20T00:00:00"/>
    <s v="Onlne earning"/>
    <n v="0"/>
    <n v="2400"/>
    <s v="YouTube"/>
    <s v="Passive"/>
    <s v="Income"/>
    <s v="Jun-2024"/>
    <x v="23"/>
  </r>
  <r>
    <d v="2024-06-20T00:00:00"/>
    <s v="Drink"/>
    <n v="120"/>
    <n v="0"/>
    <s v="Coffee"/>
    <s v="Dining Out"/>
    <s v="Expense"/>
    <s v="Jun-2024"/>
    <x v="23"/>
  </r>
  <r>
    <d v="2024-06-21T00:00:00"/>
    <s v="Drink"/>
    <n v="120"/>
    <n v="0"/>
    <s v="Coffee"/>
    <s v="Dining Out"/>
    <s v="Expense"/>
    <s v="Jun-2024"/>
    <x v="23"/>
  </r>
  <r>
    <d v="2024-06-21T00:00:00"/>
    <s v="Phone"/>
    <n v="960"/>
    <n v="0"/>
    <s v="Phone"/>
    <s v="Living Expenses"/>
    <s v="Expense"/>
    <s v="Jun-2024"/>
    <x v="23"/>
  </r>
  <r>
    <d v="2024-06-22T00:00:00"/>
    <s v="Family and Friends surprises"/>
    <n v="1202.4000000000001"/>
    <n v="0"/>
    <s v="Gifts"/>
    <s v="Discretionary"/>
    <s v="Expense"/>
    <s v="Jun-2024"/>
    <x v="23"/>
  </r>
  <r>
    <d v="2024-06-22T00:00:00"/>
    <s v="Online streaming"/>
    <n v="840"/>
    <n v="0"/>
    <s v="Entertainment"/>
    <s v="Discretionary"/>
    <s v="Expense"/>
    <s v="Jun-2024"/>
    <x v="23"/>
  </r>
  <r>
    <d v="2024-06-22T00:00:00"/>
    <s v="Drink"/>
    <n v="120"/>
    <n v="0"/>
    <s v="Coffee"/>
    <s v="Dining Out"/>
    <s v="Expense"/>
    <s v="Jun-2024"/>
    <x v="23"/>
  </r>
  <r>
    <d v="2024-06-23T00:00:00"/>
    <s v="Drink"/>
    <n v="120"/>
    <n v="0"/>
    <s v="Coffee"/>
    <s v="Dining Out"/>
    <s v="Expense"/>
    <s v="Jun-2024"/>
    <x v="23"/>
  </r>
  <r>
    <d v="2024-06-24T00:00:00"/>
    <s v="Drink"/>
    <n v="120"/>
    <n v="0"/>
    <s v="Coffee"/>
    <s v="Dining Out"/>
    <s v="Expense"/>
    <s v="Jun-2024"/>
    <x v="24"/>
  </r>
  <r>
    <d v="2024-06-24T00:00:00"/>
    <s v="Green's"/>
    <n v="5616"/>
    <n v="0"/>
    <s v="Groceries"/>
    <s v="Living Expenses"/>
    <s v="Expense"/>
    <s v="Jun-2024"/>
    <x v="24"/>
  </r>
  <r>
    <d v="2024-06-25T00:00:00"/>
    <s v="Office Lunch"/>
    <n v="1010.4"/>
    <n v="0"/>
    <s v="Restaurant"/>
    <s v="Dining Out"/>
    <s v="Expense"/>
    <s v="Jun-2024"/>
    <x v="24"/>
  </r>
  <r>
    <d v="2024-06-26T00:00:00"/>
    <s v="Evening snacks"/>
    <n v="410.4"/>
    <n v="0"/>
    <s v="Restaurant"/>
    <s v="Dining Out"/>
    <s v="Expense"/>
    <s v="Jun-2024"/>
    <x v="24"/>
  </r>
  <r>
    <d v="2024-06-27T00:00:00"/>
    <s v="Orphanage"/>
    <n v="1320"/>
    <n v="0"/>
    <s v="Donation"/>
    <s v="Charity"/>
    <s v="Expense"/>
    <s v="Jun-2024"/>
    <x v="24"/>
  </r>
  <r>
    <d v="2024-06-27T00:00:00"/>
    <s v="Fuel"/>
    <n v="1629.6"/>
    <n v="0"/>
    <s v="Fueling"/>
    <s v="Transport"/>
    <s v="Expense"/>
    <s v="Jun-2024"/>
    <x v="24"/>
  </r>
  <r>
    <d v="2024-06-27T00:00:00"/>
    <s v="Drink"/>
    <n v="120"/>
    <n v="0"/>
    <s v="Coffee"/>
    <s v="Dining Out"/>
    <s v="Expense"/>
    <s v="Jun-2024"/>
    <x v="24"/>
  </r>
  <r>
    <d v="2024-06-28T00:00:00"/>
    <s v="Drink"/>
    <n v="120"/>
    <n v="0"/>
    <s v="Coffee"/>
    <s v="Dining Out"/>
    <s v="Expense"/>
    <s v="Jun-2024"/>
    <x v="24"/>
  </r>
  <r>
    <d v="2024-06-29T00:00:00"/>
    <s v="Drink"/>
    <n v="120"/>
    <n v="0"/>
    <s v="Coffee"/>
    <s v="Dining Out"/>
    <s v="Expense"/>
    <s v="Jun-2024"/>
    <x v="24"/>
  </r>
  <r>
    <d v="2024-06-30T00:00:00"/>
    <s v="Drink"/>
    <n v="120"/>
    <n v="0"/>
    <s v="Coffee"/>
    <s v="Dining Out"/>
    <s v="Expense"/>
    <s v="Jun-2024"/>
    <x v="24"/>
  </r>
  <r>
    <d v="2024-07-01T00:00:00"/>
    <s v="Drink"/>
    <n v="120"/>
    <n v="0"/>
    <s v="Coffee"/>
    <s v="Dining Out"/>
    <s v="Expense"/>
    <s v="Jul-2024"/>
    <x v="25"/>
  </r>
  <r>
    <d v="2024-07-01T00:00:00"/>
    <s v="Green's"/>
    <n v="4005.6"/>
    <n v="0"/>
    <s v="Groceries"/>
    <s v="Living Expenses"/>
    <s v="Expense"/>
    <s v="Jul-2024"/>
    <x v="25"/>
  </r>
  <r>
    <d v="2024-07-02T00:00:00"/>
    <s v="Trainers"/>
    <n v="3117.6"/>
    <n v="0"/>
    <s v="Clothes"/>
    <s v="Discretionary"/>
    <s v="Expense"/>
    <s v="Jul-2024"/>
    <x v="25"/>
  </r>
  <r>
    <d v="2024-07-02T00:00:00"/>
    <s v="Hangingout/Ticket"/>
    <n v="4327.2"/>
    <n v="0"/>
    <s v="Entertainment"/>
    <s v="Discretionary"/>
    <s v="Expense"/>
    <s v="Jul-2024"/>
    <x v="25"/>
  </r>
  <r>
    <d v="2024-07-03T00:00:00"/>
    <s v="Zara Clothes"/>
    <n v="3602.4"/>
    <n v="0"/>
    <s v="Clothes"/>
    <s v="Discretionary"/>
    <s v="Expense"/>
    <s v="Jul-2024"/>
    <x v="25"/>
  </r>
  <r>
    <d v="2024-07-03T00:00:00"/>
    <s v="Ola"/>
    <n v="676.8"/>
    <n v="0"/>
    <s v="Taxi"/>
    <s v="Transport"/>
    <s v="Expense"/>
    <s v="Jul-2024"/>
    <x v="25"/>
  </r>
  <r>
    <d v="2024-07-03T00:00:00"/>
    <s v="Foodary"/>
    <n v="360"/>
    <n v="0"/>
    <s v="Restaurant"/>
    <s v="Dining Out"/>
    <s v="Expense"/>
    <s v="Jul-2024"/>
    <x v="25"/>
  </r>
  <r>
    <d v="2024-07-04T00:00:00"/>
    <s v="Drink"/>
    <n v="120"/>
    <n v="0"/>
    <s v="Coffee"/>
    <s v="Dining Out"/>
    <s v="Expense"/>
    <s v="Jul-2024"/>
    <x v="25"/>
  </r>
  <r>
    <d v="2024-07-05T00:00:00"/>
    <s v="Drink"/>
    <n v="120"/>
    <n v="0"/>
    <s v="Coffee"/>
    <s v="Dining Out"/>
    <s v="Expense"/>
    <s v="Jul-2024"/>
    <x v="25"/>
  </r>
  <r>
    <d v="2024-07-06T00:00:00"/>
    <s v="Nextleap DAF"/>
    <n v="0"/>
    <n v="120000"/>
    <s v="Data with Decision"/>
    <s v="Salary"/>
    <s v="Income"/>
    <s v="Jul-2024"/>
    <x v="25"/>
  </r>
  <r>
    <d v="2024-07-07T00:00:00"/>
    <s v="Drink"/>
    <n v="120"/>
    <n v="0"/>
    <s v="Coffee"/>
    <s v="Dining Out"/>
    <s v="Expense"/>
    <s v="Jul-2024"/>
    <x v="25"/>
  </r>
  <r>
    <d v="2024-07-09T00:00:00"/>
    <s v="Flat Expenses"/>
    <n v="21600"/>
    <n v="0"/>
    <s v="Rent"/>
    <s v="Living Expenses"/>
    <s v="Expense"/>
    <s v="Jul-2024"/>
    <x v="26"/>
  </r>
  <r>
    <d v="2024-07-09T00:00:00"/>
    <s v="EMI"/>
    <n v="3600"/>
    <n v="0"/>
    <s v="Cash loan"/>
    <s v="Transport"/>
    <s v="Expense"/>
    <s v="Jul-2024"/>
    <x v="26"/>
  </r>
  <r>
    <d v="2024-07-09T00:00:00"/>
    <s v="Feedings"/>
    <n v="360"/>
    <n v="0"/>
    <s v="Restaurant"/>
    <s v="Dining Out"/>
    <s v="Expense"/>
    <s v="Jul-2024"/>
    <x v="26"/>
  </r>
  <r>
    <d v="2024-07-09T00:00:00"/>
    <s v="Drink"/>
    <n v="120"/>
    <n v="0"/>
    <s v="Coffee"/>
    <s v="Dining Out"/>
    <s v="Expense"/>
    <s v="Jul-2024"/>
    <x v="26"/>
  </r>
  <r>
    <d v="2024-07-10T00:00:00"/>
    <s v="Drink"/>
    <n v="120"/>
    <n v="0"/>
    <s v="Coffee"/>
    <s v="Dining Out"/>
    <s v="Expense"/>
    <s v="Jul-2024"/>
    <x v="26"/>
  </r>
  <r>
    <d v="2024-07-11T00:00:00"/>
    <s v="Drink"/>
    <n v="120"/>
    <n v="0"/>
    <s v="Coffee"/>
    <s v="Dining Out"/>
    <s v="Expense"/>
    <s v="Jul-2024"/>
    <x v="26"/>
  </r>
  <r>
    <d v="2024-07-11T00:00:00"/>
    <s v="Green's"/>
    <n v="4320"/>
    <n v="0"/>
    <s v="Groceries"/>
    <s v="Living Expenses"/>
    <s v="Expense"/>
    <s v="Jul-2024"/>
    <x v="26"/>
  </r>
  <r>
    <d v="2024-07-14T00:00:00"/>
    <s v="Power source"/>
    <n v="1346.4"/>
    <n v="0"/>
    <s v="Gas/Electrics"/>
    <s v="Living Expenses"/>
    <s v="Expense"/>
    <s v="Jul-2024"/>
    <x v="26"/>
  </r>
  <r>
    <d v="2024-07-14T00:00:00"/>
    <s v="Drink"/>
    <n v="120"/>
    <n v="0"/>
    <s v="Coffee"/>
    <s v="Dining Out"/>
    <s v="Expense"/>
    <s v="Jul-2024"/>
    <x v="26"/>
  </r>
  <r>
    <d v="2024-07-15T00:00:00"/>
    <s v="Drink"/>
    <n v="120"/>
    <n v="0"/>
    <s v="Coffee"/>
    <s v="Dining Out"/>
    <s v="Expense"/>
    <s v="Jul-2024"/>
    <x v="27"/>
  </r>
  <r>
    <d v="2024-07-16T00:00:00"/>
    <s v="Fuel"/>
    <n v="1994.4"/>
    <n v="0"/>
    <s v="Fueling"/>
    <s v="Transport"/>
    <s v="Expense"/>
    <s v="Jul-2024"/>
    <x v="27"/>
  </r>
  <r>
    <d v="2024-07-16T00:00:00"/>
    <s v="Drink"/>
    <n v="120"/>
    <n v="0"/>
    <s v="Coffee"/>
    <s v="Dining Out"/>
    <s v="Expense"/>
    <s v="Jul-2024"/>
    <x v="27"/>
  </r>
  <r>
    <d v="2024-07-17T00:00:00"/>
    <s v="Drink"/>
    <n v="120"/>
    <n v="0"/>
    <s v="Coffee"/>
    <s v="Dining Out"/>
    <s v="Expense"/>
    <s v="Jul-2024"/>
    <x v="27"/>
  </r>
  <r>
    <d v="2024-07-18T00:00:00"/>
    <s v="Green's"/>
    <n v="3386.4"/>
    <n v="0"/>
    <s v="Groceries"/>
    <s v="Living Expenses"/>
    <s v="Expense"/>
    <s v="Jul-2024"/>
    <x v="27"/>
  </r>
  <r>
    <d v="2024-07-18T00:00:00"/>
    <s v="Drink"/>
    <n v="120"/>
    <n v="0"/>
    <s v="Coffee"/>
    <s v="Dining Out"/>
    <s v="Expense"/>
    <s v="Jul-2024"/>
    <x v="27"/>
  </r>
  <r>
    <d v="2024-07-19T00:00:00"/>
    <s v="Drink"/>
    <n v="120"/>
    <n v="0"/>
    <s v="Coffee"/>
    <s v="Dining Out"/>
    <s v="Expense"/>
    <s v="Jul-2024"/>
    <x v="27"/>
  </r>
  <r>
    <d v="2024-07-19T00:00:00"/>
    <s v="Cinemas"/>
    <n v="1099.2"/>
    <n v="0"/>
    <s v="Entertainment"/>
    <s v="Discretionary"/>
    <s v="Expense"/>
    <s v="Jul-2024"/>
    <x v="27"/>
  </r>
  <r>
    <d v="2024-07-19T00:00:00"/>
    <s v="Myntra Accesories"/>
    <n v="2491.1999999999998"/>
    <n v="0"/>
    <s v="Clothes"/>
    <s v="Discretionary"/>
    <s v="Expense"/>
    <s v="Jul-2024"/>
    <x v="27"/>
  </r>
  <r>
    <d v="2024-07-19T00:00:00"/>
    <s v="Swiggy"/>
    <n v="1392"/>
    <n v="0"/>
    <s v="Restaurant"/>
    <s v="Dining Out"/>
    <s v="Expense"/>
    <s v="Jul-2024"/>
    <x v="27"/>
  </r>
  <r>
    <d v="2024-07-20T00:00:00"/>
    <s v="Ola"/>
    <n v="820.8"/>
    <n v="0"/>
    <s v="Taxi"/>
    <s v="Transport"/>
    <s v="Expense"/>
    <s v="Jul-2024"/>
    <x v="27"/>
  </r>
  <r>
    <d v="2024-07-21T00:00:00"/>
    <s v="Onlne earning"/>
    <n v="0"/>
    <n v="4800"/>
    <s v="YouTube"/>
    <s v="Passive"/>
    <s v="Income"/>
    <s v="Jul-2024"/>
    <x v="27"/>
  </r>
  <r>
    <d v="2024-07-21T00:00:00"/>
    <s v="Drink"/>
    <n v="120"/>
    <n v="0"/>
    <s v="Coffee"/>
    <s v="Dining Out"/>
    <s v="Expense"/>
    <s v="Jul-2024"/>
    <x v="27"/>
  </r>
  <r>
    <d v="2024-07-22T00:00:00"/>
    <s v="Drink"/>
    <n v="120"/>
    <n v="0"/>
    <s v="Coffee"/>
    <s v="Dining Out"/>
    <s v="Expense"/>
    <s v="Jul-2024"/>
    <x v="28"/>
  </r>
  <r>
    <d v="2024-07-22T00:00:00"/>
    <s v="Phone"/>
    <n v="960"/>
    <n v="0"/>
    <s v="Phone"/>
    <s v="Living Expenses"/>
    <s v="Expense"/>
    <s v="Jul-2024"/>
    <x v="28"/>
  </r>
  <r>
    <d v="2024-07-23T00:00:00"/>
    <s v="Family and Friends surprises"/>
    <n v="1226.4000000000001"/>
    <n v="0"/>
    <s v="Gifts"/>
    <s v="Discretionary"/>
    <s v="Expense"/>
    <s v="Jul-2024"/>
    <x v="28"/>
  </r>
  <r>
    <d v="2024-07-23T00:00:00"/>
    <s v="Online streaming"/>
    <n v="840"/>
    <n v="0"/>
    <s v="Entertainment"/>
    <s v="Discretionary"/>
    <s v="Expense"/>
    <s v="Jul-2024"/>
    <x v="28"/>
  </r>
  <r>
    <d v="2024-07-23T00:00:00"/>
    <s v="Drink"/>
    <n v="120"/>
    <n v="0"/>
    <s v="Coffee"/>
    <s v="Dining Out"/>
    <s v="Expense"/>
    <s v="Jul-2024"/>
    <x v="28"/>
  </r>
  <r>
    <d v="2024-07-24T00:00:00"/>
    <s v="Drink"/>
    <n v="120"/>
    <n v="0"/>
    <s v="Coffee"/>
    <s v="Dining Out"/>
    <s v="Expense"/>
    <s v="Jul-2024"/>
    <x v="28"/>
  </r>
  <r>
    <d v="2024-07-25T00:00:00"/>
    <s v="Drink"/>
    <n v="120"/>
    <n v="0"/>
    <s v="Coffee"/>
    <s v="Dining Out"/>
    <s v="Expense"/>
    <s v="Jul-2024"/>
    <x v="28"/>
  </r>
  <r>
    <d v="2024-07-25T00:00:00"/>
    <s v="Green's"/>
    <n v="4224"/>
    <n v="0"/>
    <s v="Groceries"/>
    <s v="Living Expenses"/>
    <s v="Expense"/>
    <s v="Jul-2024"/>
    <x v="28"/>
  </r>
  <r>
    <d v="2024-07-26T00:00:00"/>
    <s v="Office Lunch"/>
    <n v="1034.4000000000001"/>
    <n v="0"/>
    <s v="Restaurant"/>
    <s v="Dining Out"/>
    <s v="Expense"/>
    <s v="Jul-2024"/>
    <x v="28"/>
  </r>
  <r>
    <d v="2024-07-27T00:00:00"/>
    <s v="Evening snacks"/>
    <n v="436.8"/>
    <n v="0"/>
    <s v="Restaurant"/>
    <s v="Dining Out"/>
    <s v="Expense"/>
    <s v="Jul-2024"/>
    <x v="28"/>
  </r>
  <r>
    <d v="2024-07-28T00:00:00"/>
    <s v="Orphanage"/>
    <n v="1320"/>
    <n v="0"/>
    <s v="Donation"/>
    <s v="Charity"/>
    <s v="Expense"/>
    <s v="Jul-2024"/>
    <x v="28"/>
  </r>
  <r>
    <d v="2024-07-28T00:00:00"/>
    <s v="Fuel"/>
    <n v="1651.2"/>
    <n v="0"/>
    <s v="Fueling"/>
    <s v="Transport"/>
    <s v="Expense"/>
    <s v="Jul-2024"/>
    <x v="28"/>
  </r>
  <r>
    <d v="2024-07-28T00:00:00"/>
    <s v="Drink"/>
    <n v="120"/>
    <n v="0"/>
    <s v="Coffee"/>
    <s v="Dining Out"/>
    <s v="Expense"/>
    <s v="Jul-2024"/>
    <x v="28"/>
  </r>
  <r>
    <d v="2024-07-29T00:00:00"/>
    <s v="Drink"/>
    <n v="120"/>
    <n v="0"/>
    <s v="Coffee"/>
    <s v="Dining Out"/>
    <s v="Expense"/>
    <s v="Jul-2024"/>
    <x v="29"/>
  </r>
  <r>
    <d v="2024-07-30T00:00:00"/>
    <s v="Drink"/>
    <n v="120"/>
    <n v="0"/>
    <s v="Coffee"/>
    <s v="Dining Out"/>
    <s v="Expense"/>
    <s v="Jul-2024"/>
    <x v="29"/>
  </r>
  <r>
    <d v="2024-07-31T00:00:00"/>
    <s v="Drink"/>
    <n v="120"/>
    <n v="0"/>
    <s v="Coffee"/>
    <s v="Dining Out"/>
    <s v="Expense"/>
    <s v="Jul-2024"/>
    <x v="29"/>
  </r>
  <r>
    <d v="2024-08-01T00:00:00"/>
    <s v="Drink"/>
    <n v="120"/>
    <n v="0"/>
    <s v="Coffee"/>
    <s v="Dining Out"/>
    <s v="Expense"/>
    <s v="Aug-2024"/>
    <x v="29"/>
  </r>
  <r>
    <d v="2024-08-01T00:00:00"/>
    <s v="Green's"/>
    <n v="4632"/>
    <n v="0"/>
    <s v="Groceries"/>
    <s v="Living Expenses"/>
    <s v="Expense"/>
    <s v="Aug-2024"/>
    <x v="29"/>
  </r>
  <r>
    <d v="2024-08-02T00:00:00"/>
    <s v="Trainers"/>
    <n v="3139.2"/>
    <n v="0"/>
    <s v="Clothes"/>
    <s v="Discretionary"/>
    <s v="Expense"/>
    <s v="Aug-2024"/>
    <x v="29"/>
  </r>
  <r>
    <d v="2024-08-02T00:00:00"/>
    <s v="Home décor"/>
    <n v="4353.6000000000004"/>
    <n v="0"/>
    <s v="Furnishings"/>
    <s v="Discretionary"/>
    <s v="Expense"/>
    <s v="Aug-2024"/>
    <x v="29"/>
  </r>
  <r>
    <d v="2024-08-03T00:00:00"/>
    <s v="Zara Clothes"/>
    <n v="3628.8"/>
    <n v="0"/>
    <s v="Clothes"/>
    <s v="Discretionary"/>
    <s v="Expense"/>
    <s v="Aug-2024"/>
    <x v="29"/>
  </r>
  <r>
    <d v="2024-08-03T00:00:00"/>
    <s v="Ola"/>
    <n v="703.2"/>
    <n v="0"/>
    <s v="Taxi"/>
    <s v="Transport"/>
    <s v="Expense"/>
    <s v="Aug-2024"/>
    <x v="29"/>
  </r>
  <r>
    <d v="2024-08-03T00:00:00"/>
    <s v="Foodary"/>
    <n v="360"/>
    <n v="0"/>
    <s v="Restaurant"/>
    <s v="Dining Out"/>
    <s v="Expense"/>
    <s v="Aug-2024"/>
    <x v="29"/>
  </r>
  <r>
    <d v="2024-08-04T00:00:00"/>
    <s v="Drink"/>
    <n v="120"/>
    <n v="0"/>
    <s v="Coffee"/>
    <s v="Dining Out"/>
    <s v="Expense"/>
    <s v="Aug-2024"/>
    <x v="29"/>
  </r>
  <r>
    <d v="2024-08-06T00:00:00"/>
    <s v="Drink"/>
    <n v="120"/>
    <n v="0"/>
    <s v="Coffee"/>
    <s v="Dining Out"/>
    <s v="Expense"/>
    <s v="Aug-2024"/>
    <x v="30"/>
  </r>
  <r>
    <d v="2024-08-06T00:00:00"/>
    <s v="Nextleap DAF"/>
    <n v="0"/>
    <n v="120000"/>
    <s v="Data with Decision"/>
    <s v="Salary"/>
    <s v="Income"/>
    <s v="Aug-2024"/>
    <x v="30"/>
  </r>
  <r>
    <d v="2024-08-07T00:00:00"/>
    <s v="Drink"/>
    <n v="120"/>
    <n v="0"/>
    <s v="Coffee"/>
    <s v="Dining Out"/>
    <s v="Expense"/>
    <s v="Aug-2024"/>
    <x v="30"/>
  </r>
  <r>
    <d v="2024-08-09T00:00:00"/>
    <s v="Flat Expenses"/>
    <n v="21600"/>
    <n v="0"/>
    <s v="Rent"/>
    <s v="Living Expenses"/>
    <s v="Expense"/>
    <s v="Aug-2024"/>
    <x v="30"/>
  </r>
  <r>
    <d v="2024-08-09T00:00:00"/>
    <s v="EMI"/>
    <n v="3600"/>
    <n v="0"/>
    <s v="Cash loan"/>
    <s v="Transport"/>
    <s v="Expense"/>
    <s v="Aug-2024"/>
    <x v="30"/>
  </r>
  <r>
    <d v="2024-08-09T00:00:00"/>
    <s v="Drink"/>
    <n v="120"/>
    <n v="0"/>
    <s v="Coffee"/>
    <s v="Dining Out"/>
    <s v="Expense"/>
    <s v="Aug-2024"/>
    <x v="30"/>
  </r>
  <r>
    <d v="2024-08-09T00:00:00"/>
    <s v="Drink"/>
    <n v="120"/>
    <n v="0"/>
    <s v="Coffee"/>
    <s v="Dining Out"/>
    <s v="Expense"/>
    <s v="Aug-2024"/>
    <x v="30"/>
  </r>
  <r>
    <d v="2024-08-10T00:00:00"/>
    <s v="Drink"/>
    <n v="120"/>
    <n v="0"/>
    <s v="Coffee"/>
    <s v="Dining Out"/>
    <s v="Expense"/>
    <s v="Aug-2024"/>
    <x v="30"/>
  </r>
  <r>
    <d v="2024-08-11T00:00:00"/>
    <s v="Drink"/>
    <n v="120"/>
    <n v="0"/>
    <s v="Coffee"/>
    <s v="Dining Out"/>
    <s v="Expense"/>
    <s v="Aug-2024"/>
    <x v="30"/>
  </r>
  <r>
    <d v="2024-08-11T00:00:00"/>
    <s v="Green's"/>
    <n v="3288"/>
    <n v="0"/>
    <s v="Groceries"/>
    <s v="Living Expenses"/>
    <s v="Expense"/>
    <s v="Aug-2024"/>
    <x v="30"/>
  </r>
  <r>
    <d v="2024-08-14T00:00:00"/>
    <s v="Power source"/>
    <n v="1368"/>
    <n v="0"/>
    <s v="Gas/Electrics"/>
    <s v="Living Expenses"/>
    <s v="Expense"/>
    <s v="Aug-2024"/>
    <x v="31"/>
  </r>
  <r>
    <d v="2024-08-14T00:00:00"/>
    <s v="Drink"/>
    <n v="120"/>
    <n v="0"/>
    <s v="Coffee"/>
    <s v="Dining Out"/>
    <s v="Expense"/>
    <s v="Aug-2024"/>
    <x v="31"/>
  </r>
  <r>
    <d v="2024-08-15T00:00:00"/>
    <s v="Drink"/>
    <n v="120"/>
    <n v="0"/>
    <s v="Coffee"/>
    <s v="Dining Out"/>
    <s v="Expense"/>
    <s v="Aug-2024"/>
    <x v="31"/>
  </r>
  <r>
    <d v="2024-08-16T00:00:00"/>
    <s v="Fuel"/>
    <n v="2020.8"/>
    <n v="0"/>
    <s v="Fueling"/>
    <s v="Transport"/>
    <s v="Expense"/>
    <s v="Aug-2024"/>
    <x v="31"/>
  </r>
  <r>
    <d v="2024-08-16T00:00:00"/>
    <s v="Drink"/>
    <n v="120"/>
    <n v="0"/>
    <s v="Coffee"/>
    <s v="Dining Out"/>
    <s v="Expense"/>
    <s v="Aug-2024"/>
    <x v="31"/>
  </r>
  <r>
    <d v="2024-08-17T00:00:00"/>
    <s v="Drink"/>
    <n v="120"/>
    <n v="0"/>
    <s v="Coffee"/>
    <s v="Dining Out"/>
    <s v="Expense"/>
    <s v="Aug-2024"/>
    <x v="31"/>
  </r>
  <r>
    <d v="2024-08-18T00:00:00"/>
    <s v="Green's"/>
    <n v="3410.4"/>
    <n v="0"/>
    <s v="Groceries"/>
    <s v="Living Expenses"/>
    <s v="Expense"/>
    <s v="Aug-2024"/>
    <x v="31"/>
  </r>
  <r>
    <d v="2024-08-18T00:00:00"/>
    <s v="Drink"/>
    <n v="120"/>
    <n v="0"/>
    <s v="Coffee"/>
    <s v="Dining Out"/>
    <s v="Expense"/>
    <s v="Aug-2024"/>
    <x v="31"/>
  </r>
  <r>
    <d v="2024-08-19T00:00:00"/>
    <s v="Drink"/>
    <n v="120"/>
    <n v="0"/>
    <s v="Coffee"/>
    <s v="Dining Out"/>
    <s v="Expense"/>
    <s v="Aug-2024"/>
    <x v="32"/>
  </r>
  <r>
    <d v="2024-08-19T00:00:00"/>
    <s v="Cinemas"/>
    <n v="1123.2"/>
    <n v="0"/>
    <s v="Entertainment"/>
    <s v="Discretionary"/>
    <s v="Expense"/>
    <s v="Aug-2024"/>
    <x v="32"/>
  </r>
  <r>
    <d v="2024-08-19T00:00:00"/>
    <s v="Sarojini Nagar"/>
    <n v="2512.8000000000002"/>
    <n v="0"/>
    <s v="Clothes"/>
    <s v="Discretionary"/>
    <s v="Expense"/>
    <s v="Aug-2024"/>
    <x v="32"/>
  </r>
  <r>
    <d v="2024-08-19T00:00:00"/>
    <s v="Swiggy"/>
    <n v="1418.4"/>
    <n v="0"/>
    <s v="Restaurant"/>
    <s v="Dining Out"/>
    <s v="Expense"/>
    <s v="Aug-2024"/>
    <x v="32"/>
  </r>
  <r>
    <d v="2024-08-20T00:00:00"/>
    <s v="Ola"/>
    <n v="842.4"/>
    <n v="0"/>
    <s v="Taxi"/>
    <s v="Transport"/>
    <s v="Expense"/>
    <s v="Aug-2024"/>
    <x v="32"/>
  </r>
  <r>
    <d v="2024-08-21T00:00:00"/>
    <s v="Onlne earning"/>
    <n v="0"/>
    <n v="19200"/>
    <s v="YouTube"/>
    <s v="Passive"/>
    <s v="Income"/>
    <s v="Aug-2024"/>
    <x v="32"/>
  </r>
  <r>
    <d v="2024-08-21T00:00:00"/>
    <s v="Drink"/>
    <n v="120"/>
    <n v="0"/>
    <s v="Coffee"/>
    <s v="Dining Out"/>
    <s v="Expense"/>
    <s v="Aug-2024"/>
    <x v="32"/>
  </r>
  <r>
    <d v="2024-08-22T00:00:00"/>
    <s v="Drink"/>
    <n v="120"/>
    <n v="0"/>
    <s v="Coffee"/>
    <s v="Dining Out"/>
    <s v="Expense"/>
    <s v="Aug-2024"/>
    <x v="32"/>
  </r>
  <r>
    <d v="2024-08-22T00:00:00"/>
    <s v="Phone"/>
    <n v="960"/>
    <n v="0"/>
    <s v="Phone"/>
    <s v="Living Expenses"/>
    <s v="Expense"/>
    <s v="Aug-2024"/>
    <x v="32"/>
  </r>
  <r>
    <d v="2024-08-23T00:00:00"/>
    <s v="Family and Friends surprises"/>
    <n v="1250.4000000000001"/>
    <n v="0"/>
    <s v="Gifts"/>
    <s v="Discretionary"/>
    <s v="Expense"/>
    <s v="Aug-2024"/>
    <x v="32"/>
  </r>
  <r>
    <d v="2024-08-23T00:00:00"/>
    <s v="Online streaming"/>
    <n v="840"/>
    <n v="0"/>
    <s v="Entertainment"/>
    <s v="Discretionary"/>
    <s v="Expense"/>
    <s v="Aug-2024"/>
    <x v="32"/>
  </r>
  <r>
    <d v="2024-08-23T00:00:00"/>
    <s v="Drink"/>
    <n v="120"/>
    <n v="0"/>
    <s v="Coffee"/>
    <s v="Dining Out"/>
    <s v="Expense"/>
    <s v="Aug-2024"/>
    <x v="32"/>
  </r>
  <r>
    <d v="2024-08-24T00:00:00"/>
    <s v="Drink"/>
    <n v="120"/>
    <n v="0"/>
    <s v="Coffee"/>
    <s v="Dining Out"/>
    <s v="Expense"/>
    <s v="Aug-2024"/>
    <x v="32"/>
  </r>
  <r>
    <d v="2024-08-25T00:00:00"/>
    <s v="Drink"/>
    <n v="120"/>
    <n v="0"/>
    <s v="Coffee"/>
    <s v="Dining Out"/>
    <s v="Expense"/>
    <s v="Aug-2024"/>
    <x v="32"/>
  </r>
  <r>
    <d v="2024-08-25T00:00:00"/>
    <s v="Green's"/>
    <n v="4248"/>
    <n v="0"/>
    <s v="Groceries"/>
    <s v="Living Expenses"/>
    <s v="Expense"/>
    <s v="Aug-2024"/>
    <x v="32"/>
  </r>
  <r>
    <d v="2024-08-26T00:00:00"/>
    <s v="Office Lunch"/>
    <n v="1060.8"/>
    <n v="0"/>
    <s v="Restaurant"/>
    <s v="Dining Out"/>
    <s v="Expense"/>
    <s v="Aug-2024"/>
    <x v="33"/>
  </r>
  <r>
    <d v="2024-08-27T00:00:00"/>
    <s v="Evening snacks"/>
    <n v="460.8"/>
    <n v="0"/>
    <s v="Restaurant"/>
    <s v="Dining Out"/>
    <s v="Expense"/>
    <s v="Aug-2024"/>
    <x v="33"/>
  </r>
  <r>
    <d v="2024-08-28T00:00:00"/>
    <s v="Orphanage"/>
    <n v="1320"/>
    <n v="0"/>
    <s v="Donation"/>
    <s v="Charity"/>
    <s v="Expense"/>
    <s v="Aug-2024"/>
    <x v="33"/>
  </r>
  <r>
    <d v="2024-08-28T00:00:00"/>
    <s v="Fuel"/>
    <n v="1672.8"/>
    <n v="0"/>
    <s v="Fueling"/>
    <s v="Transport"/>
    <s v="Expense"/>
    <s v="Aug-2024"/>
    <x v="33"/>
  </r>
  <r>
    <d v="2024-08-28T00:00:00"/>
    <s v="Drink"/>
    <n v="120"/>
    <n v="0"/>
    <s v="Coffee"/>
    <s v="Dining Out"/>
    <s v="Expense"/>
    <s v="Aug-2024"/>
    <x v="33"/>
  </r>
  <r>
    <d v="2024-08-29T00:00:00"/>
    <s v="Drink"/>
    <n v="120"/>
    <n v="0"/>
    <s v="Coffee"/>
    <s v="Dining Out"/>
    <s v="Expense"/>
    <s v="Aug-2024"/>
    <x v="33"/>
  </r>
  <r>
    <d v="2024-08-30T00:00:00"/>
    <s v="Drink"/>
    <n v="120"/>
    <n v="0"/>
    <s v="Coffee"/>
    <s v="Dining Out"/>
    <s v="Expense"/>
    <s v="Aug-2024"/>
    <x v="33"/>
  </r>
  <r>
    <d v="2024-08-31T00:00:00"/>
    <s v="Drink"/>
    <n v="120"/>
    <n v="0"/>
    <s v="Coffee"/>
    <s v="Dining Out"/>
    <s v="Expense"/>
    <s v="Aug-2024"/>
    <x v="33"/>
  </r>
  <r>
    <d v="2024-09-01T00:00:00"/>
    <s v="Drink"/>
    <n v="120"/>
    <n v="0"/>
    <s v="Coffee"/>
    <s v="Dining Out"/>
    <s v="Expense"/>
    <s v="Sep-2024"/>
    <x v="33"/>
  </r>
  <r>
    <d v="2024-09-01T00:00:00"/>
    <s v="Green's"/>
    <n v="2808"/>
    <n v="0"/>
    <s v="Groceries"/>
    <s v="Living Expenses"/>
    <s v="Expense"/>
    <s v="Sep-2024"/>
    <x v="33"/>
  </r>
  <r>
    <d v="2024-09-02T00:00:00"/>
    <s v="Trainers"/>
    <n v="3165.6"/>
    <n v="0"/>
    <s v="Clothes"/>
    <s v="Discretionary"/>
    <s v="Expense"/>
    <s v="Sep-2024"/>
    <x v="34"/>
  </r>
  <r>
    <d v="2024-09-02T00:00:00"/>
    <s v="Hangingout/Ticket"/>
    <n v="4377.6000000000004"/>
    <n v="0"/>
    <s v="Entertainment"/>
    <s v="Discretionary"/>
    <s v="Expense"/>
    <s v="Sep-2024"/>
    <x v="34"/>
  </r>
  <r>
    <d v="2024-09-03T00:00:00"/>
    <s v="Zara Clothes"/>
    <n v="3655.2"/>
    <n v="0"/>
    <s v="Clothes"/>
    <s v="Discretionary"/>
    <s v="Expense"/>
    <s v="Sep-2024"/>
    <x v="34"/>
  </r>
  <r>
    <d v="2024-09-03T00:00:00"/>
    <s v="Ola"/>
    <n v="727.2"/>
    <n v="0"/>
    <s v="Taxi"/>
    <s v="Transport"/>
    <s v="Expense"/>
    <s v="Sep-2024"/>
    <x v="34"/>
  </r>
  <r>
    <d v="2024-09-03T00:00:00"/>
    <s v="Foodary"/>
    <n v="360"/>
    <n v="0"/>
    <s v="Restaurant"/>
    <s v="Dining Out"/>
    <s v="Expense"/>
    <s v="Sep-2024"/>
    <x v="34"/>
  </r>
  <r>
    <d v="2024-09-04T00:00:00"/>
    <s v="Drink"/>
    <n v="120"/>
    <n v="0"/>
    <s v="Coffee"/>
    <s v="Dining Out"/>
    <s v="Expense"/>
    <s v="Sep-2024"/>
    <x v="34"/>
  </r>
  <r>
    <d v="2024-09-06T00:00:00"/>
    <s v="Drink"/>
    <n v="120"/>
    <n v="0"/>
    <s v="Coffee"/>
    <s v="Dining Out"/>
    <s v="Expense"/>
    <s v="Sep-2024"/>
    <x v="34"/>
  </r>
  <r>
    <d v="2024-09-06T00:00:00"/>
    <s v="Nextleap DAF"/>
    <n v="0"/>
    <n v="120000"/>
    <s v="Data with Decision"/>
    <s v="Salary"/>
    <s v="Income"/>
    <s v="Sep-2024"/>
    <x v="34"/>
  </r>
  <r>
    <d v="2024-09-07T00:00:00"/>
    <s v="Drink"/>
    <n v="120"/>
    <n v="0"/>
    <s v="Coffee"/>
    <s v="Dining Out"/>
    <s v="Expense"/>
    <s v="Sep-2024"/>
    <x v="34"/>
  </r>
  <r>
    <d v="2024-09-09T00:00:00"/>
    <s v="Flat Expenses"/>
    <n v="21600"/>
    <n v="0"/>
    <s v="Rent"/>
    <s v="Living Expenses"/>
    <s v="Expense"/>
    <s v="Sep-2024"/>
    <x v="35"/>
  </r>
  <r>
    <d v="2024-09-09T00:00:00"/>
    <s v="EMI"/>
    <n v="3600"/>
    <n v="0"/>
    <s v="Cash loan"/>
    <s v="Transport"/>
    <s v="Expense"/>
    <s v="Sep-2024"/>
    <x v="35"/>
  </r>
  <r>
    <d v="2024-09-09T00:00:00"/>
    <s v="Drink"/>
    <n v="120"/>
    <n v="0"/>
    <s v="Coffee"/>
    <s v="Dining Out"/>
    <s v="Expense"/>
    <s v="Sep-2024"/>
    <x v="35"/>
  </r>
  <r>
    <d v="2024-09-09T00:00:00"/>
    <s v="Drink"/>
    <n v="120"/>
    <n v="0"/>
    <s v="Coffee"/>
    <s v="Dining Out"/>
    <s v="Expense"/>
    <s v="Sep-2024"/>
    <x v="35"/>
  </r>
  <r>
    <d v="2024-09-10T00:00:00"/>
    <s v="Drink"/>
    <n v="120"/>
    <n v="0"/>
    <s v="Coffee"/>
    <s v="Dining Out"/>
    <s v="Expense"/>
    <s v="Sep-2024"/>
    <x v="35"/>
  </r>
  <r>
    <d v="2024-09-11T00:00:00"/>
    <s v="Drink"/>
    <n v="120"/>
    <n v="0"/>
    <s v="Coffee"/>
    <s v="Dining Out"/>
    <s v="Expense"/>
    <s v="Sep-2024"/>
    <x v="35"/>
  </r>
  <r>
    <d v="2024-09-11T00:00:00"/>
    <s v="Green's"/>
    <n v="3921.6"/>
    <n v="0"/>
    <s v="Groceries"/>
    <s v="Living Expenses"/>
    <s v="Expense"/>
    <s v="Sep-2024"/>
    <x v="35"/>
  </r>
  <r>
    <d v="2024-09-14T00:00:00"/>
    <s v="Power source"/>
    <n v="1394.4"/>
    <n v="0"/>
    <s v="Gas/Electrics"/>
    <s v="Living Expenses"/>
    <s v="Expense"/>
    <s v="Sep-2024"/>
    <x v="35"/>
  </r>
  <r>
    <d v="2024-09-14T00:00:00"/>
    <s v="Drink"/>
    <n v="120"/>
    <n v="0"/>
    <s v="Coffee"/>
    <s v="Dining Out"/>
    <s v="Expense"/>
    <s v="Sep-2024"/>
    <x v="35"/>
  </r>
  <r>
    <d v="2024-09-15T00:00:00"/>
    <s v="Drink"/>
    <n v="120"/>
    <n v="0"/>
    <s v="Coffee"/>
    <s v="Dining Out"/>
    <s v="Expense"/>
    <s v="Sep-2024"/>
    <x v="35"/>
  </r>
  <r>
    <d v="2024-09-16T00:00:00"/>
    <s v="Fuel"/>
    <n v="2047.2"/>
    <n v="0"/>
    <s v="Fueling"/>
    <s v="Transport"/>
    <s v="Expense"/>
    <s v="Sep-2024"/>
    <x v="36"/>
  </r>
  <r>
    <d v="2024-09-16T00:00:00"/>
    <s v="Drink"/>
    <n v="120"/>
    <n v="0"/>
    <s v="Coffee"/>
    <s v="Dining Out"/>
    <s v="Expense"/>
    <s v="Sep-2024"/>
    <x v="36"/>
  </r>
  <r>
    <d v="2024-09-17T00:00:00"/>
    <s v="Drink"/>
    <n v="120"/>
    <n v="0"/>
    <s v="Coffee"/>
    <s v="Dining Out"/>
    <s v="Expense"/>
    <s v="Sep-2024"/>
    <x v="36"/>
  </r>
  <r>
    <d v="2024-09-18T00:00:00"/>
    <s v="Green's"/>
    <n v="3432"/>
    <n v="0"/>
    <s v="Groceries"/>
    <s v="Living Expenses"/>
    <s v="Expense"/>
    <s v="Sep-2024"/>
    <x v="36"/>
  </r>
  <r>
    <d v="2024-09-18T00:00:00"/>
    <s v="Drink"/>
    <n v="120"/>
    <n v="0"/>
    <s v="Coffee"/>
    <s v="Dining Out"/>
    <s v="Expense"/>
    <s v="Sep-2024"/>
    <x v="36"/>
  </r>
  <r>
    <d v="2024-09-19T00:00:00"/>
    <s v="Drink"/>
    <n v="120"/>
    <n v="0"/>
    <s v="Coffee"/>
    <s v="Dining Out"/>
    <s v="Expense"/>
    <s v="Sep-2024"/>
    <x v="36"/>
  </r>
  <r>
    <d v="2024-09-19T00:00:00"/>
    <s v="Cinemas"/>
    <n v="1147.2"/>
    <n v="0"/>
    <s v="Entertainment"/>
    <s v="Discretionary"/>
    <s v="Expense"/>
    <s v="Sep-2024"/>
    <x v="36"/>
  </r>
  <r>
    <d v="2024-09-19T00:00:00"/>
    <s v="Myntra Accesories"/>
    <n v="2539.1999999999998"/>
    <n v="0"/>
    <s v="Clothes"/>
    <s v="Discretionary"/>
    <s v="Expense"/>
    <s v="Sep-2024"/>
    <x v="36"/>
  </r>
  <r>
    <d v="2024-09-19T00:00:00"/>
    <s v="Swiggy"/>
    <n v="1442.4"/>
    <n v="0"/>
    <s v="Restaurant"/>
    <s v="Dining Out"/>
    <s v="Expense"/>
    <s v="Sep-2024"/>
    <x v="36"/>
  </r>
  <r>
    <d v="2024-09-20T00:00:00"/>
    <s v="Ola"/>
    <n v="868.8"/>
    <n v="0"/>
    <s v="Taxi"/>
    <s v="Transport"/>
    <s v="Expense"/>
    <s v="Sep-2024"/>
    <x v="36"/>
  </r>
  <r>
    <d v="2024-09-21T00:00:00"/>
    <s v="Onlne earning"/>
    <n v="0"/>
    <n v="2400"/>
    <s v="YouTube"/>
    <s v="Passive"/>
    <s v="Income"/>
    <s v="Sep-2024"/>
    <x v="36"/>
  </r>
  <r>
    <d v="2024-09-21T00:00:00"/>
    <s v="Drink"/>
    <n v="120"/>
    <n v="0"/>
    <s v="Coffee"/>
    <s v="Dining Out"/>
    <s v="Expense"/>
    <s v="Sep-2024"/>
    <x v="36"/>
  </r>
  <r>
    <d v="2024-09-22T00:00:00"/>
    <s v="Drink"/>
    <n v="120"/>
    <n v="0"/>
    <s v="Coffee"/>
    <s v="Dining Out"/>
    <s v="Expense"/>
    <s v="Sep-2024"/>
    <x v="36"/>
  </r>
  <r>
    <d v="2024-09-22T00:00:00"/>
    <s v="Phone"/>
    <n v="960"/>
    <n v="0"/>
    <s v="Phone"/>
    <s v="Living Expenses"/>
    <s v="Expense"/>
    <s v="Sep-2024"/>
    <x v="36"/>
  </r>
  <r>
    <d v="2024-09-23T00:00:00"/>
    <s v="Family and Friends surprises"/>
    <n v="1272"/>
    <n v="0"/>
    <s v="Gifts"/>
    <s v="Discretionary"/>
    <s v="Expense"/>
    <s v="Sep-2024"/>
    <x v="37"/>
  </r>
  <r>
    <d v="2024-09-23T00:00:00"/>
    <s v="Online streaming"/>
    <n v="840"/>
    <n v="0"/>
    <s v="Entertainment"/>
    <s v="Discretionary"/>
    <s v="Expense"/>
    <s v="Sep-2024"/>
    <x v="37"/>
  </r>
  <r>
    <d v="2024-09-23T00:00:00"/>
    <s v="Drink"/>
    <n v="120"/>
    <n v="0"/>
    <s v="Coffee"/>
    <s v="Dining Out"/>
    <s v="Expense"/>
    <s v="Sep-2024"/>
    <x v="37"/>
  </r>
  <r>
    <d v="2024-09-24T00:00:00"/>
    <s v="Drink"/>
    <n v="120"/>
    <n v="0"/>
    <s v="Coffee"/>
    <s v="Dining Out"/>
    <s v="Expense"/>
    <s v="Sep-2024"/>
    <x v="37"/>
  </r>
  <r>
    <d v="2024-09-25T00:00:00"/>
    <s v="Drink"/>
    <n v="120"/>
    <n v="0"/>
    <s v="Coffee"/>
    <s v="Dining Out"/>
    <s v="Expense"/>
    <s v="Sep-2024"/>
    <x v="37"/>
  </r>
  <r>
    <d v="2024-09-25T00:00:00"/>
    <s v="Green's"/>
    <n v="4269.6000000000004"/>
    <n v="0"/>
    <s v="Groceries"/>
    <s v="Living Expenses"/>
    <s v="Expense"/>
    <s v="Sep-2024"/>
    <x v="37"/>
  </r>
  <r>
    <d v="2024-09-26T00:00:00"/>
    <s v="Office Lunch"/>
    <n v="1087.2"/>
    <n v="0"/>
    <s v="Restaurant"/>
    <s v="Dining Out"/>
    <s v="Expense"/>
    <s v="Sep-2024"/>
    <x v="37"/>
  </r>
  <r>
    <d v="2024-09-27T00:00:00"/>
    <s v="Evening snacks"/>
    <n v="482.4"/>
    <n v="0"/>
    <s v="Restaurant"/>
    <s v="Dining Out"/>
    <s v="Expense"/>
    <s v="Sep-2024"/>
    <x v="37"/>
  </r>
  <r>
    <d v="2024-09-28T00:00:00"/>
    <s v="Orphanage"/>
    <n v="1320"/>
    <n v="0"/>
    <s v="Donation"/>
    <s v="Charity"/>
    <s v="Expense"/>
    <s v="Sep-2024"/>
    <x v="37"/>
  </r>
  <r>
    <d v="2024-09-28T00:00:00"/>
    <s v="Fuel"/>
    <n v="1694.4"/>
    <n v="0"/>
    <s v="Fueling"/>
    <s v="Transport"/>
    <s v="Expense"/>
    <s v="Sep-2024"/>
    <x v="37"/>
  </r>
  <r>
    <d v="2024-09-28T00:00:00"/>
    <s v="Drink"/>
    <n v="120"/>
    <n v="0"/>
    <s v="Coffee"/>
    <s v="Dining Out"/>
    <s v="Expense"/>
    <s v="Sep-2024"/>
    <x v="37"/>
  </r>
  <r>
    <d v="2024-09-29T00:00:00"/>
    <s v="Drink"/>
    <n v="120"/>
    <n v="0"/>
    <s v="Coffee"/>
    <s v="Dining Out"/>
    <s v="Expense"/>
    <s v="Sep-2024"/>
    <x v="37"/>
  </r>
  <r>
    <d v="2024-09-30T00:00:00"/>
    <s v="Drink"/>
    <n v="120"/>
    <n v="0"/>
    <s v="Coffee"/>
    <s v="Dining Out"/>
    <s v="Expense"/>
    <s v="Sep-2024"/>
    <x v="38"/>
  </r>
  <r>
    <d v="2024-10-01T00:00:00"/>
    <s v="Drink"/>
    <n v="120"/>
    <n v="0"/>
    <s v="Coffee"/>
    <s v="Dining Out"/>
    <s v="Expense"/>
    <s v="Oct-2024"/>
    <x v="38"/>
  </r>
  <r>
    <d v="2024-10-02T00:00:00"/>
    <s v="Drink"/>
    <n v="120"/>
    <n v="0"/>
    <s v="Coffee"/>
    <s v="Dining Out"/>
    <s v="Expense"/>
    <s v="Oct-2024"/>
    <x v="38"/>
  </r>
  <r>
    <d v="2024-10-02T00:00:00"/>
    <s v="Green's"/>
    <n v="5352"/>
    <n v="0"/>
    <s v="Groceries"/>
    <s v="Living Expenses"/>
    <s v="Expense"/>
    <s v="Oct-2024"/>
    <x v="38"/>
  </r>
  <r>
    <d v="2024-10-03T00:00:00"/>
    <s v="Trainers"/>
    <n v="3189.6"/>
    <n v="0"/>
    <s v="Clothes"/>
    <s v="Discretionary"/>
    <s v="Expense"/>
    <s v="Oct-2024"/>
    <x v="38"/>
  </r>
  <r>
    <d v="2024-10-03T00:00:00"/>
    <s v="Global Fashion"/>
    <n v="4200"/>
    <n v="0"/>
    <s v="Clothes"/>
    <s v="Discretionary"/>
    <s v="Expense"/>
    <s v="Oct-2024"/>
    <x v="38"/>
  </r>
  <r>
    <d v="2024-10-04T00:00:00"/>
    <s v="Zara Clothes"/>
    <n v="3681.6"/>
    <n v="0"/>
    <s v="Clothes"/>
    <s v="Discretionary"/>
    <s v="Expense"/>
    <s v="Oct-2024"/>
    <x v="38"/>
  </r>
  <r>
    <d v="2024-10-04T00:00:00"/>
    <s v="Ola"/>
    <n v="748.8"/>
    <n v="0"/>
    <s v="Taxi"/>
    <s v="Transport"/>
    <s v="Expense"/>
    <s v="Oct-2024"/>
    <x v="38"/>
  </r>
  <r>
    <d v="2024-10-04T00:00:00"/>
    <s v="Foodary"/>
    <n v="360"/>
    <n v="0"/>
    <s v="Restaurant"/>
    <s v="Dining Out"/>
    <s v="Expense"/>
    <s v="Oct-2024"/>
    <x v="38"/>
  </r>
  <r>
    <d v="2024-10-05T00:00:00"/>
    <s v="Drink"/>
    <n v="120"/>
    <n v="0"/>
    <s v="Coffee"/>
    <s v="Dining Out"/>
    <s v="Expense"/>
    <s v="Oct-2024"/>
    <x v="38"/>
  </r>
  <r>
    <d v="2024-10-07T00:00:00"/>
    <s v="Drink"/>
    <n v="120"/>
    <n v="0"/>
    <s v="Coffee"/>
    <s v="Dining Out"/>
    <s v="Expense"/>
    <s v="Oct-2024"/>
    <x v="39"/>
  </r>
  <r>
    <d v="2024-10-07T00:00:00"/>
    <s v="Nextleap DAF"/>
    <n v="0"/>
    <n v="120000"/>
    <s v="Data with Decision"/>
    <s v="Salary"/>
    <s v="Income"/>
    <s v="Oct-2024"/>
    <x v="39"/>
  </r>
  <r>
    <d v="2024-10-08T00:00:00"/>
    <s v="Drink"/>
    <n v="120"/>
    <n v="0"/>
    <s v="Coffee"/>
    <s v="Dining Out"/>
    <s v="Expense"/>
    <s v="Oct-2024"/>
    <x v="39"/>
  </r>
  <r>
    <d v="2024-10-10T00:00:00"/>
    <s v="Flat Expenses"/>
    <n v="21600"/>
    <n v="0"/>
    <s v="Rent"/>
    <s v="Living Expenses"/>
    <s v="Expense"/>
    <s v="Oct-2024"/>
    <x v="39"/>
  </r>
  <r>
    <d v="2024-10-10T00:00:00"/>
    <s v="EMI"/>
    <n v="3600"/>
    <n v="0"/>
    <s v="Cash loan"/>
    <s v="Transport"/>
    <s v="Expense"/>
    <s v="Oct-2024"/>
    <x v="39"/>
  </r>
  <r>
    <d v="2024-10-10T00:00:00"/>
    <s v="Drink"/>
    <n v="120"/>
    <n v="0"/>
    <s v="Coffee"/>
    <s v="Dining Out"/>
    <s v="Expense"/>
    <s v="Oct-2024"/>
    <x v="39"/>
  </r>
  <r>
    <d v="2024-10-10T00:00:00"/>
    <s v="Drink"/>
    <n v="120"/>
    <n v="0"/>
    <s v="Coffee"/>
    <s v="Dining Out"/>
    <s v="Expense"/>
    <s v="Oct-2024"/>
    <x v="39"/>
  </r>
  <r>
    <d v="2024-10-11T00:00:00"/>
    <s v="Drink"/>
    <n v="120"/>
    <n v="0"/>
    <s v="Coffee"/>
    <s v="Dining Out"/>
    <s v="Expense"/>
    <s v="Oct-2024"/>
    <x v="39"/>
  </r>
  <r>
    <d v="2024-10-12T00:00:00"/>
    <s v="Drink"/>
    <n v="120"/>
    <n v="0"/>
    <s v="Coffee"/>
    <s v="Dining Out"/>
    <s v="Expense"/>
    <s v="Oct-2024"/>
    <x v="39"/>
  </r>
  <r>
    <d v="2024-10-12T00:00:00"/>
    <s v="Green's"/>
    <n v="2520"/>
    <n v="0"/>
    <s v="Groceries"/>
    <s v="Living Expenses"/>
    <s v="Expense"/>
    <s v="Oct-2024"/>
    <x v="39"/>
  </r>
  <r>
    <d v="2024-10-15T00:00:00"/>
    <s v="Power source"/>
    <n v="1416"/>
    <n v="0"/>
    <s v="Gas/Electrics"/>
    <s v="Living Expenses"/>
    <s v="Expense"/>
    <s v="Oct-2024"/>
    <x v="40"/>
  </r>
  <r>
    <d v="2024-10-15T00:00:00"/>
    <s v="Drink"/>
    <n v="120"/>
    <n v="0"/>
    <s v="Coffee"/>
    <s v="Dining Out"/>
    <s v="Expense"/>
    <s v="Oct-2024"/>
    <x v="40"/>
  </r>
  <r>
    <d v="2024-10-16T00:00:00"/>
    <s v="Drink"/>
    <n v="120"/>
    <n v="0"/>
    <s v="Coffee"/>
    <s v="Dining Out"/>
    <s v="Expense"/>
    <s v="Oct-2024"/>
    <x v="40"/>
  </r>
  <r>
    <d v="2024-10-17T00:00:00"/>
    <s v="Fuel"/>
    <n v="2073.6"/>
    <n v="0"/>
    <s v="Fueling"/>
    <s v="Transport"/>
    <s v="Expense"/>
    <s v="Oct-2024"/>
    <x v="40"/>
  </r>
  <r>
    <d v="2024-10-17T00:00:00"/>
    <s v="Drink"/>
    <n v="120"/>
    <n v="0"/>
    <s v="Coffee"/>
    <s v="Dining Out"/>
    <s v="Expense"/>
    <s v="Oct-2024"/>
    <x v="40"/>
  </r>
  <r>
    <d v="2024-10-18T00:00:00"/>
    <s v="Drink"/>
    <n v="120"/>
    <n v="0"/>
    <s v="Coffee"/>
    <s v="Dining Out"/>
    <s v="Expense"/>
    <s v="Oct-2024"/>
    <x v="40"/>
  </r>
  <r>
    <d v="2024-10-19T00:00:00"/>
    <s v="Green's"/>
    <n v="3453.6"/>
    <n v="0"/>
    <s v="Groceries"/>
    <s v="Living Expenses"/>
    <s v="Expense"/>
    <s v="Oct-2024"/>
    <x v="40"/>
  </r>
  <r>
    <d v="2024-10-19T00:00:00"/>
    <s v="Drink"/>
    <n v="120"/>
    <n v="0"/>
    <s v="Coffee"/>
    <s v="Dining Out"/>
    <s v="Expense"/>
    <s v="Oct-2024"/>
    <x v="40"/>
  </r>
  <r>
    <d v="2024-10-20T00:00:00"/>
    <s v="Drink"/>
    <n v="120"/>
    <n v="0"/>
    <s v="Coffee"/>
    <s v="Dining Out"/>
    <s v="Expense"/>
    <s v="Oct-2024"/>
    <x v="40"/>
  </r>
  <r>
    <d v="2024-10-20T00:00:00"/>
    <s v="Cinemas"/>
    <n v="1171.2"/>
    <n v="0"/>
    <s v="Entertainment"/>
    <s v="Discretionary"/>
    <s v="Expense"/>
    <s v="Oct-2024"/>
    <x v="40"/>
  </r>
  <r>
    <d v="2024-10-20T00:00:00"/>
    <s v="Myntra Accesories"/>
    <n v="2560.8000000000002"/>
    <n v="0"/>
    <s v="Clothes"/>
    <s v="Discretionary"/>
    <s v="Expense"/>
    <s v="Oct-2024"/>
    <x v="40"/>
  </r>
  <r>
    <d v="2024-10-20T00:00:00"/>
    <s v="Swiggy"/>
    <n v="1466.4"/>
    <n v="0"/>
    <s v="Restaurant"/>
    <s v="Dining Out"/>
    <s v="Expense"/>
    <s v="Oct-2024"/>
    <x v="40"/>
  </r>
  <r>
    <d v="2024-10-21T00:00:00"/>
    <s v="Ola"/>
    <n v="892.8"/>
    <n v="0"/>
    <s v="Taxi"/>
    <s v="Transport"/>
    <s v="Expense"/>
    <s v="Oct-2024"/>
    <x v="41"/>
  </r>
  <r>
    <d v="2024-10-22T00:00:00"/>
    <s v="Onlne earning"/>
    <n v="0"/>
    <n v="2400"/>
    <s v="YouTube"/>
    <s v="Passive"/>
    <s v="Income"/>
    <s v="Oct-2024"/>
    <x v="41"/>
  </r>
  <r>
    <d v="2024-10-22T00:00:00"/>
    <s v="Drink"/>
    <n v="120"/>
    <n v="0"/>
    <s v="Coffee"/>
    <s v="Dining Out"/>
    <s v="Expense"/>
    <s v="Oct-2024"/>
    <x v="41"/>
  </r>
  <r>
    <d v="2024-10-23T00:00:00"/>
    <s v="Drink"/>
    <n v="120"/>
    <n v="0"/>
    <s v="Coffee"/>
    <s v="Dining Out"/>
    <s v="Expense"/>
    <s v="Oct-2024"/>
    <x v="41"/>
  </r>
  <r>
    <d v="2024-10-23T00:00:00"/>
    <s v="Taken medication"/>
    <n v="1800"/>
    <n v="0"/>
    <s v="Doctor"/>
    <s v="Medical"/>
    <s v="Expense"/>
    <s v="Oct-2024"/>
    <x v="41"/>
  </r>
  <r>
    <d v="2024-10-23T00:00:00"/>
    <s v="Phone"/>
    <n v="960"/>
    <n v="0"/>
    <s v="Phone"/>
    <s v="Living Expenses"/>
    <s v="Expense"/>
    <s v="Oct-2024"/>
    <x v="41"/>
  </r>
  <r>
    <d v="2024-10-24T00:00:00"/>
    <s v="Family and Friends surprises"/>
    <n v="1298.4000000000001"/>
    <n v="0"/>
    <s v="Gifts"/>
    <s v="Discretionary"/>
    <s v="Expense"/>
    <s v="Oct-2024"/>
    <x v="41"/>
  </r>
  <r>
    <d v="2024-10-24T00:00:00"/>
    <s v="Online streaming"/>
    <n v="840"/>
    <n v="0"/>
    <s v="Entertainment"/>
    <s v="Discretionary"/>
    <s v="Expense"/>
    <s v="Oct-2024"/>
    <x v="41"/>
  </r>
  <r>
    <d v="2024-10-24T00:00:00"/>
    <s v="Drink"/>
    <n v="120"/>
    <n v="0"/>
    <s v="Coffee"/>
    <s v="Dining Out"/>
    <s v="Expense"/>
    <s v="Oct-2024"/>
    <x v="41"/>
  </r>
  <r>
    <d v="2024-10-25T00:00:00"/>
    <s v="Drink"/>
    <n v="120"/>
    <n v="0"/>
    <s v="Coffee"/>
    <s v="Dining Out"/>
    <s v="Expense"/>
    <s v="Oct-2024"/>
    <x v="41"/>
  </r>
  <r>
    <d v="2024-10-26T00:00:00"/>
    <s v="Drink"/>
    <n v="120"/>
    <n v="0"/>
    <s v="Coffee"/>
    <s v="Dining Out"/>
    <s v="Expense"/>
    <s v="Oct-2024"/>
    <x v="41"/>
  </r>
  <r>
    <d v="2024-10-26T00:00:00"/>
    <s v="Green's"/>
    <n v="4293.6000000000004"/>
    <n v="0"/>
    <s v="Groceries"/>
    <s v="Living Expenses"/>
    <s v="Expense"/>
    <s v="Oct-2024"/>
    <x v="41"/>
  </r>
  <r>
    <d v="2024-10-27T00:00:00"/>
    <s v="Office Lunch"/>
    <n v="1108.8"/>
    <n v="0"/>
    <s v="Restaurant"/>
    <s v="Dining Out"/>
    <s v="Expense"/>
    <s v="Oct-2024"/>
    <x v="41"/>
  </r>
  <r>
    <d v="2024-10-28T00:00:00"/>
    <s v="Evening snacks"/>
    <n v="506.4"/>
    <n v="0"/>
    <s v="Restaurant"/>
    <s v="Dining Out"/>
    <s v="Expense"/>
    <s v="Oct-2024"/>
    <x v="42"/>
  </r>
  <r>
    <d v="2024-10-29T00:00:00"/>
    <s v="Orphanage"/>
    <n v="1320"/>
    <n v="0"/>
    <s v="Donation"/>
    <s v="Charity"/>
    <s v="Expense"/>
    <s v="Oct-2024"/>
    <x v="42"/>
  </r>
  <r>
    <d v="2024-10-29T00:00:00"/>
    <s v="Fuel"/>
    <n v="1716"/>
    <n v="0"/>
    <s v="Fueling"/>
    <s v="Transport"/>
    <s v="Expense"/>
    <s v="Oct-2024"/>
    <x v="42"/>
  </r>
  <r>
    <d v="2024-10-29T00:00:00"/>
    <s v="Drink"/>
    <n v="120"/>
    <n v="0"/>
    <s v="Coffee"/>
    <s v="Dining Out"/>
    <s v="Expense"/>
    <s v="Oct-2024"/>
    <x v="42"/>
  </r>
  <r>
    <d v="2024-10-30T00:00:00"/>
    <s v="Drink"/>
    <n v="120"/>
    <n v="0"/>
    <s v="Coffee"/>
    <s v="Dining Out"/>
    <s v="Expense"/>
    <s v="Oct-2024"/>
    <x v="42"/>
  </r>
  <r>
    <d v="2024-10-31T00:00:00"/>
    <s v="Drink"/>
    <n v="120"/>
    <n v="0"/>
    <s v="Coffee"/>
    <s v="Dining Out"/>
    <s v="Expense"/>
    <s v="Oct-2024"/>
    <x v="42"/>
  </r>
  <r>
    <d v="2024-11-01T00:00:00"/>
    <s v="Drink"/>
    <n v="120"/>
    <n v="0"/>
    <s v="Coffee"/>
    <s v="Dining Out"/>
    <s v="Expense"/>
    <s v="Nov-2024"/>
    <x v="42"/>
  </r>
  <r>
    <d v="2024-11-02T00:00:00"/>
    <s v="Drink"/>
    <n v="120"/>
    <n v="0"/>
    <s v="Coffee"/>
    <s v="Dining Out"/>
    <s v="Expense"/>
    <s v="Nov-2024"/>
    <x v="42"/>
  </r>
  <r>
    <d v="2024-11-02T00:00:00"/>
    <s v="Green's"/>
    <n v="4536"/>
    <n v="0"/>
    <s v="Groceries"/>
    <s v="Living Expenses"/>
    <s v="Expense"/>
    <s v="Nov-2024"/>
    <x v="42"/>
  </r>
  <r>
    <d v="2024-11-03T00:00:00"/>
    <s v="Trainers"/>
    <n v="3211.2"/>
    <n v="0"/>
    <s v="Clothes"/>
    <s v="Discretionary"/>
    <s v="Expense"/>
    <s v="Nov-2024"/>
    <x v="42"/>
  </r>
  <r>
    <d v="2024-11-03T00:00:00"/>
    <s v="Hangingout/Ticket"/>
    <n v="4425.6000000000004"/>
    <n v="0"/>
    <s v="Entertainment"/>
    <s v="Discretionary"/>
    <s v="Expense"/>
    <s v="Nov-2024"/>
    <x v="42"/>
  </r>
  <r>
    <d v="2024-11-04T00:00:00"/>
    <s v="H&amp;m Visit"/>
    <n v="3708"/>
    <n v="0"/>
    <s v="Clothes"/>
    <s v="Discretionary"/>
    <s v="Expense"/>
    <s v="Nov-2024"/>
    <x v="43"/>
  </r>
  <r>
    <d v="2024-11-04T00:00:00"/>
    <s v="Ola"/>
    <n v="770.4"/>
    <n v="0"/>
    <s v="Taxi"/>
    <s v="Transport"/>
    <s v="Expense"/>
    <s v="Nov-2024"/>
    <x v="43"/>
  </r>
  <r>
    <d v="2024-11-04T00:00:00"/>
    <s v="Foodary"/>
    <n v="360"/>
    <n v="0"/>
    <s v="Restaurant"/>
    <s v="Dining Out"/>
    <s v="Expense"/>
    <s v="Nov-2024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221BA-FF56-4A7D-9A8E-9E9C6C570184}" name="PivotTable13" cacheId="59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18:K25" firstHeaderRow="1" firstDataRow="1" firstDataCol="2" rowPageCount="1" colPageCount="1"/>
  <pivotFields count="7">
    <pivotField compact="0" numFmtId="16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20">
        <item x="3"/>
        <item x="7"/>
        <item x="1"/>
        <item x="16"/>
        <item x="17"/>
        <item x="14"/>
        <item x="6"/>
        <item x="15"/>
        <item x="18"/>
        <item x="5"/>
        <item x="13"/>
        <item x="4"/>
        <item x="0"/>
        <item x="12"/>
        <item x="2"/>
        <item x="8"/>
        <item x="9"/>
        <item x="11"/>
        <item x="10"/>
        <item t="default"/>
      </items>
    </pivotField>
    <pivotField axis="axisRow" compact="0" outline="0"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axis="axisPage" compact="0" outline="0" showAll="0">
      <items count="3">
        <item h="1" x="1"/>
        <item x="0"/>
        <item t="default"/>
      </items>
    </pivotField>
  </pivotFields>
  <rowFields count="2">
    <field x="5"/>
    <field x="4"/>
  </rowFields>
  <rowItems count="7">
    <i>
      <x v="5"/>
      <x v="17"/>
    </i>
    <i r="1">
      <x v="18"/>
    </i>
    <i t="default">
      <x v="5"/>
    </i>
    <i>
      <x v="6"/>
      <x v="3"/>
    </i>
    <i r="1">
      <x v="12"/>
    </i>
    <i t="default">
      <x v="6"/>
    </i>
    <i t="grand">
      <x/>
    </i>
  </rowItems>
  <colItems count="1">
    <i/>
  </colItems>
  <pageFields count="1">
    <pageField fld="6" item="1" hier="-1"/>
  </pageFields>
  <dataFields count="1">
    <dataField name="Sum of Credit" fld="3" baseField="0" baseItem="0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5" count="1" selected="0">
            <x v="5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5" count="1" selected="0">
            <x v="5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5" count="1" selected="0">
            <x v="5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5" count="1" selected="0">
            <x v="5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5" count="1" selected="0">
            <x v="5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5" count="1" selected="0">
            <x v="5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5" count="1" selected="0">
            <x v="5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5" count="1" selected="0">
            <x v="5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FEE7D-3E33-439B-96DF-CC87DA8B0464}" name="PivotTable12" cacheId="59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3:C25" firstHeaderRow="0" firstDataRow="1" firstDataCol="1"/>
  <pivotFields count="8">
    <pivotField compact="0" numFmtId="16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3"/>
        <item x="7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2" baseField="0" baseItem="0"/>
    <dataField name="Sum of Credit" fld="3" baseField="0" baseItem="0"/>
  </dataFields>
  <chartFormats count="9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4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5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6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7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7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7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7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8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8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82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6" format="83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6" format="84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6" format="85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6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7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6" format="88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6" format="89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6" format="90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6" format="9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6" format="92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6" format="93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6" format="94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6" format="95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6" format="96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6" format="97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894C2-CECA-47A8-A7A2-EE8B92CE78E1}" name="PivotTable11" cacheId="59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11:F14" firstHeaderRow="1" firstDataRow="1" firstDataCol="1"/>
  <pivotFields count="7">
    <pivotField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9">
        <item h="1" x="6"/>
        <item h="1" x="1"/>
        <item h="1" x="4"/>
        <item h="1" x="2"/>
        <item h="1" x="7"/>
        <item x="5"/>
        <item x="0"/>
        <item h="1" x="3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5"/>
  </rowFields>
  <rowItems count="3">
    <i>
      <x v="5"/>
    </i>
    <i>
      <x v="6"/>
    </i>
    <i t="grand">
      <x/>
    </i>
  </rowItems>
  <colItems count="1">
    <i/>
  </colItems>
  <dataFields count="1">
    <dataField name="Sum of Cred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22A0A-71D3-46C9-8E26-3ACF7FB813C9}" name="PivotTable10" cacheId="59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2:G5" firstHeaderRow="0" firstDataRow="1" firstDataCol="1"/>
  <pivotFields count="7">
    <pivotField compact="0" numFmtId="16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axis="axisRow" compact="0" outline="0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2" baseField="0" baseItem="0"/>
    <dataField name="Sum of Credit" fld="3" baseField="0" baseItem="0"/>
  </dataField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0E3F-EB67-4FBF-8255-DDF195ED7D6D}" name="PivotTable1" cacheId="59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0" firstHeaderRow="1" firstDataRow="1" firstDataCol="1"/>
  <pivotFields count="7">
    <pivotField compact="0" numFmtId="164" outline="0" showAll="0">
      <items count="2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compact="0" outline="0" showAll="0">
      <items count="31">
        <item x="7"/>
        <item x="25"/>
        <item x="23"/>
        <item x="1"/>
        <item x="3"/>
        <item x="16"/>
        <item x="13"/>
        <item x="27"/>
        <item x="2"/>
        <item x="24"/>
        <item x="6"/>
        <item x="21"/>
        <item x="4"/>
        <item x="29"/>
        <item x="19"/>
        <item x="26"/>
        <item x="20"/>
        <item x="0"/>
        <item x="15"/>
        <item x="10"/>
        <item x="14"/>
        <item x="11"/>
        <item x="17"/>
        <item x="12"/>
        <item x="5"/>
        <item x="28"/>
        <item x="9"/>
        <item x="22"/>
        <item x="18"/>
        <item x="8"/>
        <item t="default"/>
      </items>
    </pivotField>
    <pivotField dataField="1" compact="0" outline="0" showAll="0">
      <items count="178">
        <item h="1" x="0"/>
        <item x="1"/>
        <item h="1" x="16"/>
        <item h="1" x="36"/>
        <item h="1" x="54"/>
        <item h="1" x="61"/>
        <item h="1" x="72"/>
        <item h="1" x="88"/>
        <item h="1" x="105"/>
        <item h="1" x="122"/>
        <item h="1" x="137"/>
        <item h="1" x="154"/>
        <item h="1" x="170"/>
        <item h="1" x="23"/>
        <item h="1" x="42"/>
        <item h="1" x="60"/>
        <item h="1" x="78"/>
        <item h="1" x="94"/>
        <item h="1" x="11"/>
        <item h="1" x="111"/>
        <item h="1" x="31"/>
        <item h="1" x="128"/>
        <item h="1" x="49"/>
        <item h="1" x="143"/>
        <item h="1" x="68"/>
        <item h="1" x="159"/>
        <item h="1" x="13"/>
        <item h="1" x="176"/>
        <item h="1" x="101"/>
        <item h="1" x="119"/>
        <item h="1" x="33"/>
        <item h="1" x="134"/>
        <item h="1" x="151"/>
        <item h="1" x="15"/>
        <item h="1" x="167"/>
        <item h="1" x="35"/>
        <item h="1" x="53"/>
        <item h="1" x="8"/>
        <item h="1" x="71"/>
        <item h="1" x="28"/>
        <item h="1" x="87"/>
        <item h="1" x="46"/>
        <item h="1" x="104"/>
        <item h="1" x="65"/>
        <item h="1" x="121"/>
        <item h="1" x="82"/>
        <item h="1" x="136"/>
        <item h="1" x="98"/>
        <item h="1" x="12"/>
        <item h="1" x="153"/>
        <item h="1" x="116"/>
        <item h="1" x="32"/>
        <item h="1" x="169"/>
        <item h="1" x="51"/>
        <item h="1" x="148"/>
        <item h="1" x="69"/>
        <item h="1" x="164"/>
        <item h="1" x="85"/>
        <item h="1" x="5"/>
        <item h="1" x="102"/>
        <item h="1" x="25"/>
        <item h="1" x="10"/>
        <item h="1" x="44"/>
        <item h="1" x="30"/>
        <item h="1" x="63"/>
        <item h="1" x="48"/>
        <item h="1" x="79"/>
        <item h="1" x="67"/>
        <item h="1" x="17"/>
        <item h="1" x="84"/>
        <item h="1" x="113"/>
        <item h="1" x="100"/>
        <item h="1" x="129"/>
        <item h="1" x="118"/>
        <item h="1" x="145"/>
        <item h="1" x="161"/>
        <item h="1" x="133"/>
        <item h="1" x="150"/>
        <item h="1" x="166"/>
        <item h="1" x="18"/>
        <item h="1" x="37"/>
        <item h="1" x="55"/>
        <item h="1" x="73"/>
        <item h="1" x="89"/>
        <item h="1" x="106"/>
        <item h="1" x="123"/>
        <item h="1" x="138"/>
        <item h="1" x="155"/>
        <item h="1" x="171"/>
        <item h="1" x="50"/>
        <item h="1" x="6"/>
        <item h="1" x="26"/>
        <item h="1" x="45"/>
        <item h="1" x="64"/>
        <item h="1" x="80"/>
        <item h="1" x="96"/>
        <item h="1" x="114"/>
        <item h="1" x="130"/>
        <item h="1" x="146"/>
        <item h="1" x="162"/>
        <item h="1" x="9"/>
        <item h="1" x="29"/>
        <item h="1" x="47"/>
        <item h="1" x="66"/>
        <item h="1" x="83"/>
        <item h="1" x="99"/>
        <item h="1" x="117"/>
        <item h="1" x="132"/>
        <item h="1" x="160"/>
        <item h="1" x="149"/>
        <item h="1" x="165"/>
        <item h="1" x="139"/>
        <item h="1" x="95"/>
        <item h="1" x="20"/>
        <item h="1" x="39"/>
        <item h="1" x="57"/>
        <item h="1" x="75"/>
        <item h="1" x="91"/>
        <item h="1" x="108"/>
        <item h="1" x="125"/>
        <item h="1" x="140"/>
        <item h="1" x="157"/>
        <item h="1" x="173"/>
        <item h="1" x="7"/>
        <item h="1" x="27"/>
        <item h="1" x="40"/>
        <item h="1" x="81"/>
        <item h="1" x="97"/>
        <item h="1" x="115"/>
        <item h="1" x="131"/>
        <item h="1" x="147"/>
        <item h="1" x="163"/>
        <item h="1" x="22"/>
        <item h="1" x="41"/>
        <item h="1" x="59"/>
        <item h="1" x="77"/>
        <item h="1" x="43"/>
        <item h="1" x="93"/>
        <item h="1" x="3"/>
        <item h="1" x="110"/>
        <item h="1" x="127"/>
        <item h="1" x="142"/>
        <item h="1" x="158"/>
        <item h="1" x="175"/>
        <item h="1" x="4"/>
        <item h="1" x="62"/>
        <item h="1" x="19"/>
        <item h="1" x="38"/>
        <item h="1" x="144"/>
        <item h="1" x="74"/>
        <item h="1" x="90"/>
        <item h="1" x="107"/>
        <item h="1" x="14"/>
        <item h="1" x="34"/>
        <item h="1" x="52"/>
        <item h="1" x="70"/>
        <item h="1" x="86"/>
        <item h="1" x="21"/>
        <item h="1" x="120"/>
        <item h="1" x="135"/>
        <item h="1" x="58"/>
        <item h="1" x="152"/>
        <item h="1" x="168"/>
        <item h="1" x="112"/>
        <item h="1" x="109"/>
        <item h="1" x="126"/>
        <item h="1" x="141"/>
        <item h="1" x="174"/>
        <item h="1" x="172"/>
        <item h="1" x="124"/>
        <item h="1" x="24"/>
        <item h="1" x="56"/>
        <item h="1" x="156"/>
        <item h="1" x="103"/>
        <item h="1" x="92"/>
        <item h="1" x="76"/>
        <item h="1" x="2"/>
        <item t="default"/>
      </items>
    </pivotField>
    <pivotField compact="0" outline="0" showAll="0">
      <items count="9">
        <item x="1"/>
        <item x="6"/>
        <item x="7"/>
        <item x="3"/>
        <item x="4"/>
        <item x="5"/>
        <item x="2"/>
        <item x="0"/>
        <item t="default"/>
      </items>
    </pivotField>
    <pivotField compact="0" outline="0" showAll="0">
      <items count="20">
        <item x="3"/>
        <item x="7"/>
        <item x="1"/>
        <item x="16"/>
        <item x="17"/>
        <item x="14"/>
        <item x="6"/>
        <item x="15"/>
        <item x="18"/>
        <item x="5"/>
        <item x="13"/>
        <item x="4"/>
        <item x="0"/>
        <item x="12"/>
        <item x="2"/>
        <item x="8"/>
        <item x="9"/>
        <item x="11"/>
        <item x="10"/>
        <item t="default"/>
      </items>
    </pivotField>
    <pivotField axis="axisRow" compact="0" outline="0" showAll="0">
      <items count="9">
        <item x="6"/>
        <item x="1"/>
        <item x="4"/>
        <item x="2"/>
        <item x="7"/>
        <item h="1" x="5"/>
        <item h="1" x="0"/>
        <item x="3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7"/>
    </i>
    <i t="grand">
      <x/>
    </i>
  </rowItems>
  <colItems count="1">
    <i/>
  </colItems>
  <dataFields count="1">
    <dataField name="Sum of Debit" fld="2" baseField="0" baseItem="0"/>
  </dataFields>
  <chartFormats count="20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F388B-4A0E-442F-A204-162C58D89F77}" name="PivotTable9" cacheId="59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99:C106" firstHeaderRow="1" firstDataRow="1" firstDataCol="2" rowPageCount="1" colPageCount="1"/>
  <pivotFields count="7">
    <pivotField compact="0" numFmtId="16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20">
        <item x="3"/>
        <item x="7"/>
        <item x="1"/>
        <item x="16"/>
        <item x="17"/>
        <item x="14"/>
        <item x="6"/>
        <item x="15"/>
        <item x="18"/>
        <item x="5"/>
        <item x="13"/>
        <item x="4"/>
        <item x="0"/>
        <item x="12"/>
        <item x="2"/>
        <item x="8"/>
        <item x="9"/>
        <item x="11"/>
        <item x="10"/>
        <item t="default"/>
      </items>
    </pivotField>
    <pivotField axis="axisRow" compact="0" outline="0"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axis="axisPage" compact="0" outline="0" showAll="0">
      <items count="3">
        <item h="1" x="1"/>
        <item x="0"/>
        <item t="default"/>
      </items>
    </pivotField>
  </pivotFields>
  <rowFields count="2">
    <field x="5"/>
    <field x="4"/>
  </rowFields>
  <rowItems count="7">
    <i>
      <x v="5"/>
      <x v="17"/>
    </i>
    <i r="1">
      <x v="18"/>
    </i>
    <i t="default">
      <x v="5"/>
    </i>
    <i>
      <x v="6"/>
      <x v="3"/>
    </i>
    <i r="1">
      <x v="12"/>
    </i>
    <i t="default">
      <x v="6"/>
    </i>
    <i t="grand">
      <x/>
    </i>
  </rowItems>
  <colItems count="1">
    <i/>
  </colItems>
  <pageFields count="1">
    <pageField fld="6" item="1" hier="-1"/>
  </pageFields>
  <dataFields count="1">
    <dataField name="Sum of Credit" fld="3" baseField="0" baseItem="0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5" count="1" selected="0">
            <x v="5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5" count="1" selected="0">
            <x v="5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5" count="1" selected="0">
            <x v="5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5" count="1" selected="0">
            <x v="5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5" count="1" selected="0">
            <x v="5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5" count="1" selected="0">
            <x v="5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5" count="1" selected="0">
            <x v="5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5" count="1" selected="0">
            <x v="5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E928C-CB32-43ED-B758-C8CAD30DC622}" name="PivotTable8" cacheId="59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6:C91" firstHeaderRow="0" firstDataRow="1" firstDataCol="1"/>
  <pivotFields count="9">
    <pivotField compact="0" numFmtId="16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 count="1">
    <field x="8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2" baseField="0" baseItem="0"/>
    <dataField name="Sum of Cred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19290-5B8B-4EE4-8C3A-8CC600EB23A8}" name="PivotTable4" cacheId="59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32:G44" firstHeaderRow="0" firstDataRow="1" firstDataCol="1"/>
  <pivotFields count="8">
    <pivotField compact="0" numFmtId="16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3"/>
        <item x="7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2" baseField="0" baseItem="0"/>
    <dataField name="Sum of Credit" fld="3" baseField="0" baseItem="0"/>
  </dataFields>
  <chartFormats count="9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4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5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6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7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7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7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7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8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8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82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6" format="83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6" format="84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6" format="85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6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7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6" format="88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6" format="89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6" format="90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6" format="9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6" format="92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6" format="93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6" format="94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6" format="95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6" format="96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6" format="97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1B0C2-8C4D-41E1-AB49-915FB4709783}" name="PivotTable1" cacheId="59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N19:P22" firstHeaderRow="0" firstDataRow="1" firstDataCol="1"/>
  <pivotFields count="7">
    <pivotField compact="0" numFmtId="16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axis="axisRow" compact="0" outline="0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2" baseField="0" baseItem="0"/>
    <dataField name="Sum of Credit" fld="3" baseField="0" baseItem="0"/>
  </dataField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2DF96-C992-4397-9AAC-4CE51CCAC7D2}" name="PivotTable11" cacheId="59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16:F25" firstHeaderRow="1" firstDataRow="1" firstDataCol="1"/>
  <pivotFields count="7">
    <pivotField compact="0" numFmtId="164" outline="0" showAll="0">
      <items count="2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compact="0" outline="0" showAll="0">
      <items count="31">
        <item x="7"/>
        <item x="25"/>
        <item x="23"/>
        <item x="1"/>
        <item x="3"/>
        <item x="16"/>
        <item x="13"/>
        <item x="27"/>
        <item x="2"/>
        <item x="24"/>
        <item x="6"/>
        <item x="21"/>
        <item x="4"/>
        <item x="29"/>
        <item x="19"/>
        <item x="26"/>
        <item x="20"/>
        <item x="0"/>
        <item x="15"/>
        <item x="10"/>
        <item x="14"/>
        <item x="11"/>
        <item x="17"/>
        <item x="12"/>
        <item x="5"/>
        <item x="28"/>
        <item x="9"/>
        <item x="22"/>
        <item x="18"/>
        <item x="8"/>
        <item t="default"/>
      </items>
    </pivotField>
    <pivotField dataField="1" compact="0" outline="0" showAll="0">
      <items count="178">
        <item h="1" x="0"/>
        <item x="1"/>
        <item h="1" x="16"/>
        <item h="1" x="36"/>
        <item h="1" x="54"/>
        <item h="1" x="61"/>
        <item h="1" x="72"/>
        <item h="1" x="88"/>
        <item h="1" x="105"/>
        <item h="1" x="122"/>
        <item h="1" x="137"/>
        <item h="1" x="154"/>
        <item h="1" x="170"/>
        <item h="1" x="23"/>
        <item h="1" x="42"/>
        <item h="1" x="60"/>
        <item h="1" x="78"/>
        <item h="1" x="94"/>
        <item h="1" x="11"/>
        <item h="1" x="111"/>
        <item h="1" x="31"/>
        <item h="1" x="128"/>
        <item h="1" x="49"/>
        <item h="1" x="143"/>
        <item h="1" x="68"/>
        <item h="1" x="159"/>
        <item h="1" x="13"/>
        <item h="1" x="176"/>
        <item h="1" x="101"/>
        <item h="1" x="119"/>
        <item h="1" x="33"/>
        <item h="1" x="134"/>
        <item h="1" x="151"/>
        <item h="1" x="15"/>
        <item h="1" x="167"/>
        <item h="1" x="35"/>
        <item h="1" x="53"/>
        <item h="1" x="8"/>
        <item h="1" x="71"/>
        <item h="1" x="28"/>
        <item h="1" x="87"/>
        <item h="1" x="46"/>
        <item h="1" x="104"/>
        <item h="1" x="65"/>
        <item h="1" x="121"/>
        <item h="1" x="82"/>
        <item h="1" x="136"/>
        <item h="1" x="98"/>
        <item h="1" x="12"/>
        <item h="1" x="153"/>
        <item h="1" x="116"/>
        <item h="1" x="32"/>
        <item h="1" x="169"/>
        <item h="1" x="51"/>
        <item h="1" x="148"/>
        <item h="1" x="69"/>
        <item h="1" x="164"/>
        <item h="1" x="85"/>
        <item h="1" x="5"/>
        <item h="1" x="102"/>
        <item h="1" x="25"/>
        <item h="1" x="10"/>
        <item h="1" x="44"/>
        <item h="1" x="30"/>
        <item h="1" x="63"/>
        <item h="1" x="48"/>
        <item h="1" x="79"/>
        <item h="1" x="67"/>
        <item h="1" x="17"/>
        <item h="1" x="84"/>
        <item h="1" x="113"/>
        <item h="1" x="100"/>
        <item h="1" x="129"/>
        <item h="1" x="118"/>
        <item h="1" x="145"/>
        <item h="1" x="161"/>
        <item h="1" x="133"/>
        <item h="1" x="150"/>
        <item h="1" x="166"/>
        <item h="1" x="18"/>
        <item h="1" x="37"/>
        <item h="1" x="55"/>
        <item h="1" x="73"/>
        <item h="1" x="89"/>
        <item h="1" x="106"/>
        <item h="1" x="123"/>
        <item h="1" x="138"/>
        <item h="1" x="155"/>
        <item h="1" x="171"/>
        <item h="1" x="50"/>
        <item h="1" x="6"/>
        <item h="1" x="26"/>
        <item h="1" x="45"/>
        <item h="1" x="64"/>
        <item h="1" x="80"/>
        <item h="1" x="96"/>
        <item h="1" x="114"/>
        <item h="1" x="130"/>
        <item h="1" x="146"/>
        <item h="1" x="162"/>
        <item h="1" x="9"/>
        <item h="1" x="29"/>
        <item h="1" x="47"/>
        <item h="1" x="66"/>
        <item h="1" x="83"/>
        <item h="1" x="99"/>
        <item h="1" x="117"/>
        <item h="1" x="132"/>
        <item h="1" x="160"/>
        <item h="1" x="149"/>
        <item h="1" x="165"/>
        <item h="1" x="139"/>
        <item h="1" x="95"/>
        <item h="1" x="20"/>
        <item h="1" x="39"/>
        <item h="1" x="57"/>
        <item h="1" x="75"/>
        <item h="1" x="91"/>
        <item h="1" x="108"/>
        <item h="1" x="125"/>
        <item h="1" x="140"/>
        <item h="1" x="157"/>
        <item h="1" x="173"/>
        <item h="1" x="7"/>
        <item h="1" x="27"/>
        <item h="1" x="40"/>
        <item h="1" x="81"/>
        <item h="1" x="97"/>
        <item h="1" x="115"/>
        <item h="1" x="131"/>
        <item h="1" x="147"/>
        <item h="1" x="163"/>
        <item h="1" x="22"/>
        <item h="1" x="41"/>
        <item h="1" x="59"/>
        <item h="1" x="77"/>
        <item h="1" x="43"/>
        <item h="1" x="93"/>
        <item h="1" x="3"/>
        <item h="1" x="110"/>
        <item h="1" x="127"/>
        <item h="1" x="142"/>
        <item h="1" x="158"/>
        <item h="1" x="175"/>
        <item h="1" x="4"/>
        <item h="1" x="62"/>
        <item h="1" x="19"/>
        <item h="1" x="38"/>
        <item h="1" x="144"/>
        <item h="1" x="74"/>
        <item h="1" x="90"/>
        <item h="1" x="107"/>
        <item h="1" x="14"/>
        <item h="1" x="34"/>
        <item h="1" x="52"/>
        <item h="1" x="70"/>
        <item h="1" x="86"/>
        <item h="1" x="21"/>
        <item h="1" x="120"/>
        <item h="1" x="135"/>
        <item h="1" x="58"/>
        <item h="1" x="152"/>
        <item h="1" x="168"/>
        <item h="1" x="112"/>
        <item h="1" x="109"/>
        <item h="1" x="126"/>
        <item h="1" x="141"/>
        <item h="1" x="174"/>
        <item h="1" x="172"/>
        <item h="1" x="124"/>
        <item h="1" x="24"/>
        <item h="1" x="56"/>
        <item h="1" x="156"/>
        <item h="1" x="103"/>
        <item h="1" x="92"/>
        <item h="1" x="76"/>
        <item h="1" x="2"/>
        <item t="default"/>
      </items>
    </pivotField>
    <pivotField compact="0" outline="0" showAll="0">
      <items count="9">
        <item x="1"/>
        <item x="6"/>
        <item x="7"/>
        <item x="3"/>
        <item x="4"/>
        <item x="5"/>
        <item x="2"/>
        <item x="0"/>
        <item t="default"/>
      </items>
    </pivotField>
    <pivotField compact="0" outline="0" showAll="0">
      <items count="20">
        <item x="3"/>
        <item x="7"/>
        <item x="1"/>
        <item x="16"/>
        <item x="17"/>
        <item x="14"/>
        <item x="6"/>
        <item x="15"/>
        <item x="18"/>
        <item x="5"/>
        <item x="13"/>
        <item x="4"/>
        <item x="0"/>
        <item x="12"/>
        <item x="2"/>
        <item x="8"/>
        <item x="9"/>
        <item x="11"/>
        <item x="10"/>
        <item t="default"/>
      </items>
    </pivotField>
    <pivotField axis="axisRow" compact="0" outline="0" showAll="0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compact="0" outline="0" showAll="0">
      <items count="3">
        <item h="1" x="1"/>
        <item x="0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Debit" fld="2" baseField="0" baseItem="0"/>
  </dataFields>
  <chartFormats count="20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46021FB-59C9-48DC-927D-580B347E6569}" sourceName="Category">
  <pivotTables>
    <pivotTable tabId="6" name="PivotTable11"/>
  </pivotTables>
  <data>
    <tabular pivotCacheId="1989701936">
      <items count="8">
        <i x="6" s="1"/>
        <i x="1" s="1"/>
        <i x="4" s="1"/>
        <i x="2" s="1"/>
        <i x="7" s="1"/>
        <i x="5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_Type" xr10:uid="{564D253E-342F-473F-A705-71D47CF40E10}" sourceName="Category Type">
  <pivotTables>
    <pivotTable tabId="6" name="PivotTable1"/>
  </pivotTables>
  <data>
    <tabular pivotCacheId="1989701936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4B4405F4-F202-4547-8D44-85A5C2B2A43F}" sourceName="month">
  <pivotTables>
    <pivotTable tabId="6" name="PivotTable4"/>
  </pivotTables>
  <data>
    <tabular pivotCacheId="1047693718">
      <items count="11">
        <i x="3" s="1"/>
        <i x="7" s="1"/>
        <i x="1" s="1"/>
        <i x="0" s="1"/>
        <i x="6" s="1"/>
        <i x="5" s="1"/>
        <i x="2" s="1"/>
        <i x="4" s="1"/>
        <i x="10" s="1"/>
        <i x="9" s="1"/>
        <i x="8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4F2562DA-AC51-4FFA-B548-D475D43CE8E0}" sourceName="Category">
  <data>
    <tabular pivotCacheId="1989701936">
      <items count="8">
        <i x="5" s="1"/>
        <i x="0" s="1"/>
        <i x="6" s="1" nd="1"/>
        <i x="1" s="1" nd="1"/>
        <i x="4" s="1" nd="1"/>
        <i x="2" s="1" nd="1"/>
        <i x="7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1E5FEEA5-D8C5-4B80-B327-1641CBDBD6B3}" cache="Slicer_Category" caption="Category" rowHeight="228600"/>
  <slicer name="Category Type" xr10:uid="{853E4E82-6053-4F40-8DDF-2C5324EB0B1B}" cache="Slicer_Category_Type" caption="Category Type" rowHeight="228600"/>
  <slicer name="month" xr10:uid="{EC8A072D-AD46-46EF-BF76-6525F1E78077}" cache="Slicer_month" caption="month" rowHeight="228600"/>
  <slicer name="Category 1" xr10:uid="{22C7791E-15CA-4B33-BA00-848DFC21384B}" cache="Slicer_Category1" caption="Category" rowHeight="2286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87"/>
  <sheetViews>
    <sheetView topLeftCell="A10" workbookViewId="0">
      <selection activeCell="D487" sqref="D487"/>
    </sheetView>
  </sheetViews>
  <sheetFormatPr defaultColWidth="12.5703125" defaultRowHeight="15.75" customHeight="1"/>
  <cols>
    <col min="6" max="6" width="18.140625" customWidth="1"/>
    <col min="7" max="7" width="17.28515625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</row>
    <row r="2" spans="1:8" ht="12.75">
      <c r="A2" s="2">
        <v>45300</v>
      </c>
      <c r="B2" s="3" t="s">
        <v>7</v>
      </c>
      <c r="C2" s="4">
        <v>0</v>
      </c>
      <c r="D2" s="3" t="s">
        <v>8</v>
      </c>
      <c r="E2" s="3" t="str">
        <f>IF(D2="",0,D2)</f>
        <v>₹120,000.00</v>
      </c>
      <c r="F2" s="3" t="s">
        <v>7</v>
      </c>
      <c r="G2" s="3" t="s">
        <v>9</v>
      </c>
      <c r="H2" s="3" t="s">
        <v>10</v>
      </c>
    </row>
    <row r="3" spans="1:8" ht="12.75">
      <c r="A3" s="2">
        <v>45300</v>
      </c>
      <c r="B3" s="3" t="s">
        <v>11</v>
      </c>
      <c r="C3" s="3" t="s">
        <v>12</v>
      </c>
      <c r="D3" s="4"/>
      <c r="E3" s="3">
        <f t="shared" ref="E3:E66" si="0">IF(D3="",0,D3)</f>
        <v>0</v>
      </c>
      <c r="F3" s="3" t="s">
        <v>13</v>
      </c>
      <c r="G3" s="3" t="s">
        <v>14</v>
      </c>
      <c r="H3" s="3" t="s">
        <v>15</v>
      </c>
    </row>
    <row r="4" spans="1:8" ht="12.75">
      <c r="A4" s="2">
        <v>45301</v>
      </c>
      <c r="B4" s="3" t="s">
        <v>16</v>
      </c>
      <c r="C4" s="3" t="s">
        <v>17</v>
      </c>
      <c r="D4" s="4"/>
      <c r="E4" s="3">
        <f t="shared" si="0"/>
        <v>0</v>
      </c>
      <c r="F4" s="3" t="s">
        <v>18</v>
      </c>
      <c r="G4" s="3" t="s">
        <v>19</v>
      </c>
      <c r="H4" s="3" t="s">
        <v>15</v>
      </c>
    </row>
    <row r="5" spans="1:8" ht="12.75">
      <c r="A5" s="2">
        <v>45301</v>
      </c>
      <c r="B5" s="3" t="s">
        <v>20</v>
      </c>
      <c r="C5" s="3" t="s">
        <v>21</v>
      </c>
      <c r="D5" s="4"/>
      <c r="E5" s="3">
        <f t="shared" si="0"/>
        <v>0</v>
      </c>
      <c r="F5" s="3" t="s">
        <v>22</v>
      </c>
      <c r="G5" s="3" t="s">
        <v>23</v>
      </c>
      <c r="H5" s="3" t="s">
        <v>15</v>
      </c>
    </row>
    <row r="6" spans="1:8" ht="12.75">
      <c r="A6" s="2">
        <v>45301</v>
      </c>
      <c r="B6" s="3" t="s">
        <v>11</v>
      </c>
      <c r="C6" s="3" t="s">
        <v>12</v>
      </c>
      <c r="D6" s="4"/>
      <c r="E6" s="3">
        <f t="shared" si="0"/>
        <v>0</v>
      </c>
      <c r="F6" s="3" t="s">
        <v>13</v>
      </c>
      <c r="G6" s="3" t="s">
        <v>14</v>
      </c>
      <c r="H6" s="3" t="s">
        <v>15</v>
      </c>
    </row>
    <row r="7" spans="1:8" ht="12.75">
      <c r="A7" s="2">
        <v>45302</v>
      </c>
      <c r="B7" s="3" t="s">
        <v>11</v>
      </c>
      <c r="C7" s="3" t="s">
        <v>12</v>
      </c>
      <c r="D7" s="4"/>
      <c r="E7" s="3">
        <f t="shared" si="0"/>
        <v>0</v>
      </c>
      <c r="F7" s="3" t="s">
        <v>13</v>
      </c>
      <c r="G7" s="3" t="s">
        <v>14</v>
      </c>
      <c r="H7" s="3" t="s">
        <v>15</v>
      </c>
    </row>
    <row r="8" spans="1:8" ht="12.75">
      <c r="A8" s="2">
        <v>45303</v>
      </c>
      <c r="B8" s="3" t="s">
        <v>11</v>
      </c>
      <c r="C8" s="3" t="s">
        <v>12</v>
      </c>
      <c r="D8" s="4"/>
      <c r="E8" s="3">
        <f t="shared" si="0"/>
        <v>0</v>
      </c>
      <c r="F8" s="3" t="s">
        <v>13</v>
      </c>
      <c r="G8" s="3" t="s">
        <v>14</v>
      </c>
      <c r="H8" s="3" t="s">
        <v>15</v>
      </c>
    </row>
    <row r="9" spans="1:8" ht="12.75">
      <c r="A9" s="2">
        <v>45304</v>
      </c>
      <c r="B9" s="3" t="s">
        <v>11</v>
      </c>
      <c r="C9" s="3" t="s">
        <v>12</v>
      </c>
      <c r="D9" s="4"/>
      <c r="E9" s="3">
        <f t="shared" si="0"/>
        <v>0</v>
      </c>
      <c r="F9" s="3" t="s">
        <v>13</v>
      </c>
      <c r="G9" s="3" t="s">
        <v>14</v>
      </c>
      <c r="H9" s="3" t="s">
        <v>15</v>
      </c>
    </row>
    <row r="10" spans="1:8" ht="12.75">
      <c r="A10" s="2">
        <v>45304</v>
      </c>
      <c r="B10" s="3" t="s">
        <v>24</v>
      </c>
      <c r="C10" s="3" t="s">
        <v>25</v>
      </c>
      <c r="D10" s="4"/>
      <c r="E10" s="3">
        <f t="shared" si="0"/>
        <v>0</v>
      </c>
      <c r="F10" s="3" t="s">
        <v>26</v>
      </c>
      <c r="G10" s="3" t="s">
        <v>19</v>
      </c>
      <c r="H10" s="3" t="s">
        <v>15</v>
      </c>
    </row>
    <row r="11" spans="1:8" ht="12.75">
      <c r="A11" s="2">
        <v>45307</v>
      </c>
      <c r="B11" s="3" t="s">
        <v>27</v>
      </c>
      <c r="C11" s="3" t="s">
        <v>28</v>
      </c>
      <c r="D11" s="4"/>
      <c r="E11" s="3">
        <f t="shared" si="0"/>
        <v>0</v>
      </c>
      <c r="F11" s="3" t="s">
        <v>29</v>
      </c>
      <c r="G11" s="3" t="s">
        <v>19</v>
      </c>
      <c r="H11" s="3" t="s">
        <v>15</v>
      </c>
    </row>
    <row r="12" spans="1:8" ht="12.75">
      <c r="A12" s="2">
        <v>45307</v>
      </c>
      <c r="B12" s="3" t="s">
        <v>11</v>
      </c>
      <c r="C12" s="3" t="s">
        <v>12</v>
      </c>
      <c r="D12" s="4"/>
      <c r="E12" s="3">
        <f t="shared" si="0"/>
        <v>0</v>
      </c>
      <c r="F12" s="3" t="s">
        <v>13</v>
      </c>
      <c r="G12" s="3" t="s">
        <v>14</v>
      </c>
      <c r="H12" s="3" t="s">
        <v>15</v>
      </c>
    </row>
    <row r="13" spans="1:8" ht="12.75">
      <c r="A13" s="2">
        <v>45308</v>
      </c>
      <c r="B13" s="3" t="s">
        <v>11</v>
      </c>
      <c r="C13" s="3" t="s">
        <v>12</v>
      </c>
      <c r="D13" s="4"/>
      <c r="E13" s="3">
        <f t="shared" si="0"/>
        <v>0</v>
      </c>
      <c r="F13" s="3" t="s">
        <v>13</v>
      </c>
      <c r="G13" s="3" t="s">
        <v>14</v>
      </c>
      <c r="H13" s="3" t="s">
        <v>15</v>
      </c>
    </row>
    <row r="14" spans="1:8" ht="12.75">
      <c r="A14" s="2">
        <v>45309</v>
      </c>
      <c r="B14" s="3" t="s">
        <v>30</v>
      </c>
      <c r="C14" s="3" t="s">
        <v>31</v>
      </c>
      <c r="D14" s="4"/>
      <c r="E14" s="3">
        <f t="shared" si="0"/>
        <v>0</v>
      </c>
      <c r="F14" s="3" t="s">
        <v>13</v>
      </c>
      <c r="G14" s="3" t="s">
        <v>14</v>
      </c>
      <c r="H14" s="3" t="s">
        <v>15</v>
      </c>
    </row>
    <row r="15" spans="1:8" ht="12.75">
      <c r="A15" s="2">
        <v>45309</v>
      </c>
      <c r="B15" s="3" t="s">
        <v>11</v>
      </c>
      <c r="C15" s="3" t="s">
        <v>12</v>
      </c>
      <c r="D15" s="4"/>
      <c r="E15" s="3">
        <f t="shared" si="0"/>
        <v>0</v>
      </c>
      <c r="F15" s="3" t="s">
        <v>13</v>
      </c>
      <c r="G15" s="3" t="s">
        <v>14</v>
      </c>
      <c r="H15" s="3" t="s">
        <v>15</v>
      </c>
    </row>
    <row r="16" spans="1:8" ht="12.75">
      <c r="A16" s="2">
        <v>45310</v>
      </c>
      <c r="B16" s="3" t="s">
        <v>11</v>
      </c>
      <c r="C16" s="3" t="s">
        <v>12</v>
      </c>
      <c r="D16" s="4"/>
      <c r="E16" s="3">
        <f t="shared" si="0"/>
        <v>0</v>
      </c>
      <c r="F16" s="3" t="s">
        <v>13</v>
      </c>
      <c r="G16" s="3" t="s">
        <v>14</v>
      </c>
      <c r="H16" s="3" t="s">
        <v>15</v>
      </c>
    </row>
    <row r="17" spans="1:8" ht="12.75">
      <c r="A17" s="2">
        <v>45311</v>
      </c>
      <c r="B17" s="3" t="s">
        <v>24</v>
      </c>
      <c r="C17" s="3" t="s">
        <v>32</v>
      </c>
      <c r="D17" s="4"/>
      <c r="E17" s="3">
        <f t="shared" si="0"/>
        <v>0</v>
      </c>
      <c r="F17" s="3" t="s">
        <v>26</v>
      </c>
      <c r="G17" s="3" t="s">
        <v>19</v>
      </c>
      <c r="H17" s="3" t="s">
        <v>15</v>
      </c>
    </row>
    <row r="18" spans="1:8" ht="12.75">
      <c r="A18" s="2">
        <v>45311</v>
      </c>
      <c r="B18" s="3" t="s">
        <v>11</v>
      </c>
      <c r="C18" s="3" t="s">
        <v>12</v>
      </c>
      <c r="D18" s="4"/>
      <c r="E18" s="3">
        <f t="shared" si="0"/>
        <v>0</v>
      </c>
      <c r="F18" s="3" t="s">
        <v>13</v>
      </c>
      <c r="G18" s="3" t="s">
        <v>14</v>
      </c>
      <c r="H18" s="3" t="s">
        <v>15</v>
      </c>
    </row>
    <row r="19" spans="1:8" ht="12.75">
      <c r="A19" s="2">
        <v>45312</v>
      </c>
      <c r="B19" s="3" t="s">
        <v>11</v>
      </c>
      <c r="C19" s="3" t="s">
        <v>12</v>
      </c>
      <c r="D19" s="4"/>
      <c r="E19" s="3">
        <f t="shared" si="0"/>
        <v>0</v>
      </c>
      <c r="F19" s="3" t="s">
        <v>13</v>
      </c>
      <c r="G19" s="3" t="s">
        <v>14</v>
      </c>
      <c r="H19" s="3" t="s">
        <v>15</v>
      </c>
    </row>
    <row r="20" spans="1:8" ht="12.75">
      <c r="A20" s="2">
        <v>45312</v>
      </c>
      <c r="B20" s="3" t="s">
        <v>33</v>
      </c>
      <c r="C20" s="3" t="s">
        <v>34</v>
      </c>
      <c r="D20" s="4"/>
      <c r="E20" s="3">
        <f t="shared" si="0"/>
        <v>0</v>
      </c>
      <c r="F20" s="3" t="s">
        <v>35</v>
      </c>
      <c r="G20" s="3" t="s">
        <v>36</v>
      </c>
      <c r="H20" s="3" t="s">
        <v>15</v>
      </c>
    </row>
    <row r="21" spans="1:8" ht="12.75">
      <c r="A21" s="2">
        <v>45312</v>
      </c>
      <c r="B21" s="3" t="s">
        <v>37</v>
      </c>
      <c r="C21" s="3" t="s">
        <v>38</v>
      </c>
      <c r="D21" s="4"/>
      <c r="E21" s="3">
        <f t="shared" si="0"/>
        <v>0</v>
      </c>
      <c r="F21" s="3" t="s">
        <v>39</v>
      </c>
      <c r="G21" s="3" t="s">
        <v>36</v>
      </c>
      <c r="H21" s="3" t="s">
        <v>15</v>
      </c>
    </row>
    <row r="22" spans="1:8" ht="12.75">
      <c r="A22" s="2">
        <v>45312</v>
      </c>
      <c r="B22" s="3" t="s">
        <v>40</v>
      </c>
      <c r="C22" s="3" t="s">
        <v>41</v>
      </c>
      <c r="D22" s="4"/>
      <c r="E22" s="3">
        <f t="shared" si="0"/>
        <v>0</v>
      </c>
      <c r="F22" s="3" t="s">
        <v>42</v>
      </c>
      <c r="G22" s="3" t="s">
        <v>14</v>
      </c>
      <c r="H22" s="3" t="s">
        <v>15</v>
      </c>
    </row>
    <row r="23" spans="1:8" ht="12.75">
      <c r="A23" s="2">
        <v>45313</v>
      </c>
      <c r="B23" s="3" t="s">
        <v>43</v>
      </c>
      <c r="C23" s="3" t="s">
        <v>44</v>
      </c>
      <c r="D23" s="4"/>
      <c r="E23" s="3">
        <f t="shared" si="0"/>
        <v>0</v>
      </c>
      <c r="F23" s="3" t="s">
        <v>45</v>
      </c>
      <c r="G23" s="3" t="s">
        <v>23</v>
      </c>
      <c r="H23" s="3" t="s">
        <v>15</v>
      </c>
    </row>
    <row r="24" spans="1:8" ht="12.75">
      <c r="A24" s="2">
        <v>45314</v>
      </c>
      <c r="B24" s="3" t="s">
        <v>46</v>
      </c>
      <c r="C24" s="4">
        <v>0</v>
      </c>
      <c r="D24" s="3" t="s">
        <v>47</v>
      </c>
      <c r="E24" s="3" t="str">
        <f t="shared" si="0"/>
        <v>₹108,000.00</v>
      </c>
      <c r="F24" s="3" t="s">
        <v>48</v>
      </c>
      <c r="G24" s="3" t="s">
        <v>49</v>
      </c>
      <c r="H24" s="3" t="s">
        <v>10</v>
      </c>
    </row>
    <row r="25" spans="1:8" ht="12.75">
      <c r="A25" s="2">
        <v>45314</v>
      </c>
      <c r="B25" s="3" t="s">
        <v>11</v>
      </c>
      <c r="C25" s="3" t="s">
        <v>12</v>
      </c>
      <c r="D25" s="4"/>
      <c r="E25" s="3">
        <f t="shared" si="0"/>
        <v>0</v>
      </c>
      <c r="F25" s="3" t="s">
        <v>13</v>
      </c>
      <c r="G25" s="3" t="s">
        <v>14</v>
      </c>
      <c r="H25" s="3" t="s">
        <v>15</v>
      </c>
    </row>
    <row r="26" spans="1:8" ht="12.75">
      <c r="A26" s="2">
        <v>45315</v>
      </c>
      <c r="B26" s="3" t="s">
        <v>11</v>
      </c>
      <c r="C26" s="3" t="s">
        <v>12</v>
      </c>
      <c r="D26" s="4"/>
      <c r="E26" s="3">
        <f t="shared" si="0"/>
        <v>0</v>
      </c>
      <c r="F26" s="3" t="s">
        <v>13</v>
      </c>
      <c r="G26" s="3" t="s">
        <v>14</v>
      </c>
      <c r="H26" s="3" t="s">
        <v>15</v>
      </c>
    </row>
    <row r="27" spans="1:8" ht="12.75">
      <c r="A27" s="2">
        <v>45315</v>
      </c>
      <c r="B27" s="3" t="s">
        <v>46</v>
      </c>
      <c r="C27" s="4">
        <v>0</v>
      </c>
      <c r="D27" s="3" t="s">
        <v>47</v>
      </c>
      <c r="E27" s="3" t="str">
        <f t="shared" si="0"/>
        <v>₹108,000.00</v>
      </c>
      <c r="F27" s="3" t="s">
        <v>50</v>
      </c>
      <c r="G27" s="3" t="s">
        <v>49</v>
      </c>
      <c r="H27" s="3" t="s">
        <v>10</v>
      </c>
    </row>
    <row r="28" spans="1:8" ht="12.75">
      <c r="A28" s="2">
        <v>45315</v>
      </c>
      <c r="B28" s="3" t="s">
        <v>51</v>
      </c>
      <c r="C28" s="3" t="s">
        <v>34</v>
      </c>
      <c r="D28" s="4"/>
      <c r="E28" s="3">
        <f t="shared" si="0"/>
        <v>0</v>
      </c>
      <c r="F28" s="3" t="s">
        <v>51</v>
      </c>
      <c r="G28" s="3" t="s">
        <v>19</v>
      </c>
      <c r="H28" s="3" t="s">
        <v>15</v>
      </c>
    </row>
    <row r="29" spans="1:8" ht="12.75">
      <c r="A29" s="2">
        <v>45316</v>
      </c>
      <c r="B29" s="3" t="s">
        <v>52</v>
      </c>
      <c r="C29" s="3" t="s">
        <v>53</v>
      </c>
      <c r="D29" s="4"/>
      <c r="E29" s="3">
        <f t="shared" si="0"/>
        <v>0</v>
      </c>
      <c r="F29" s="3" t="s">
        <v>54</v>
      </c>
      <c r="G29" s="3" t="s">
        <v>36</v>
      </c>
      <c r="H29" s="3" t="s">
        <v>15</v>
      </c>
    </row>
    <row r="30" spans="1:8" ht="12.75">
      <c r="A30" s="2">
        <v>45316</v>
      </c>
      <c r="B30" s="3" t="s">
        <v>55</v>
      </c>
      <c r="C30" s="3" t="s">
        <v>56</v>
      </c>
      <c r="D30" s="4"/>
      <c r="E30" s="3">
        <f t="shared" si="0"/>
        <v>0</v>
      </c>
      <c r="F30" s="3" t="s">
        <v>35</v>
      </c>
      <c r="G30" s="3" t="s">
        <v>36</v>
      </c>
      <c r="H30" s="3" t="s">
        <v>15</v>
      </c>
    </row>
    <row r="31" spans="1:8" ht="12.75">
      <c r="A31" s="2">
        <v>45316</v>
      </c>
      <c r="B31" s="3" t="s">
        <v>11</v>
      </c>
      <c r="C31" s="3" t="s">
        <v>12</v>
      </c>
      <c r="D31" s="4"/>
      <c r="E31" s="3">
        <f t="shared" si="0"/>
        <v>0</v>
      </c>
      <c r="F31" s="3" t="s">
        <v>13</v>
      </c>
      <c r="G31" s="3" t="s">
        <v>14</v>
      </c>
      <c r="H31" s="3" t="s">
        <v>15</v>
      </c>
    </row>
    <row r="32" spans="1:8" ht="12.75">
      <c r="A32" s="2">
        <v>45317</v>
      </c>
      <c r="B32" s="3" t="s">
        <v>11</v>
      </c>
      <c r="C32" s="3" t="s">
        <v>12</v>
      </c>
      <c r="D32" s="4"/>
      <c r="E32" s="3">
        <f t="shared" si="0"/>
        <v>0</v>
      </c>
      <c r="F32" s="3" t="s">
        <v>13</v>
      </c>
      <c r="G32" s="3" t="s">
        <v>14</v>
      </c>
      <c r="H32" s="3" t="s">
        <v>15</v>
      </c>
    </row>
    <row r="33" spans="1:8" ht="12.75">
      <c r="A33" s="2">
        <v>45318</v>
      </c>
      <c r="B33" s="3" t="s">
        <v>11</v>
      </c>
      <c r="C33" s="3" t="s">
        <v>12</v>
      </c>
      <c r="D33" s="4"/>
      <c r="E33" s="3">
        <f t="shared" si="0"/>
        <v>0</v>
      </c>
      <c r="F33" s="3" t="s">
        <v>13</v>
      </c>
      <c r="G33" s="3" t="s">
        <v>14</v>
      </c>
      <c r="H33" s="3" t="s">
        <v>15</v>
      </c>
    </row>
    <row r="34" spans="1:8" ht="12.75">
      <c r="A34" s="2">
        <v>45318</v>
      </c>
      <c r="B34" s="3" t="s">
        <v>24</v>
      </c>
      <c r="C34" s="3" t="s">
        <v>57</v>
      </c>
      <c r="D34" s="4"/>
      <c r="E34" s="3">
        <f t="shared" si="0"/>
        <v>0</v>
      </c>
      <c r="F34" s="3" t="s">
        <v>26</v>
      </c>
      <c r="G34" s="3" t="s">
        <v>19</v>
      </c>
      <c r="H34" s="3" t="s">
        <v>15</v>
      </c>
    </row>
    <row r="35" spans="1:8" ht="12.75">
      <c r="A35" s="2">
        <v>45319</v>
      </c>
      <c r="B35" s="3" t="s">
        <v>58</v>
      </c>
      <c r="C35" s="3" t="s">
        <v>59</v>
      </c>
      <c r="D35" s="4"/>
      <c r="E35" s="3">
        <f t="shared" si="0"/>
        <v>0</v>
      </c>
      <c r="F35" s="3" t="s">
        <v>42</v>
      </c>
      <c r="G35" s="3" t="s">
        <v>14</v>
      </c>
      <c r="H35" s="3" t="s">
        <v>15</v>
      </c>
    </row>
    <row r="36" spans="1:8" ht="12.75">
      <c r="A36" s="2">
        <v>45320</v>
      </c>
      <c r="B36" s="3" t="s">
        <v>60</v>
      </c>
      <c r="C36" s="3" t="s">
        <v>61</v>
      </c>
      <c r="D36" s="4"/>
      <c r="E36" s="3">
        <f t="shared" si="0"/>
        <v>0</v>
      </c>
      <c r="F36" s="3" t="s">
        <v>42</v>
      </c>
      <c r="G36" s="3" t="s">
        <v>14</v>
      </c>
      <c r="H36" s="3" t="s">
        <v>15</v>
      </c>
    </row>
    <row r="37" spans="1:8" ht="12.75">
      <c r="A37" s="2">
        <v>45321</v>
      </c>
      <c r="B37" s="3" t="s">
        <v>62</v>
      </c>
      <c r="C37" s="3" t="s">
        <v>63</v>
      </c>
      <c r="D37" s="4"/>
      <c r="E37" s="3">
        <f t="shared" si="0"/>
        <v>0</v>
      </c>
      <c r="F37" s="3" t="s">
        <v>64</v>
      </c>
      <c r="G37" s="3" t="s">
        <v>65</v>
      </c>
      <c r="H37" s="3" t="s">
        <v>15</v>
      </c>
    </row>
    <row r="38" spans="1:8" ht="12.75">
      <c r="A38" s="2">
        <v>45321</v>
      </c>
      <c r="B38" s="3" t="s">
        <v>30</v>
      </c>
      <c r="C38" s="3" t="s">
        <v>66</v>
      </c>
      <c r="D38" s="4"/>
      <c r="E38" s="3">
        <f t="shared" si="0"/>
        <v>0</v>
      </c>
      <c r="F38" s="3" t="s">
        <v>67</v>
      </c>
      <c r="G38" s="3" t="s">
        <v>23</v>
      </c>
      <c r="H38" s="3" t="s">
        <v>15</v>
      </c>
    </row>
    <row r="39" spans="1:8" ht="12.75">
      <c r="A39" s="2">
        <v>45321</v>
      </c>
      <c r="B39" s="3" t="s">
        <v>11</v>
      </c>
      <c r="C39" s="3" t="s">
        <v>12</v>
      </c>
      <c r="D39" s="4"/>
      <c r="E39" s="3">
        <f t="shared" si="0"/>
        <v>0</v>
      </c>
      <c r="F39" s="3" t="s">
        <v>13</v>
      </c>
      <c r="G39" s="3" t="s">
        <v>14</v>
      </c>
      <c r="H39" s="3" t="s">
        <v>15</v>
      </c>
    </row>
    <row r="40" spans="1:8" ht="12.75">
      <c r="A40" s="2">
        <v>45322</v>
      </c>
      <c r="B40" s="3" t="s">
        <v>11</v>
      </c>
      <c r="C40" s="3" t="s">
        <v>12</v>
      </c>
      <c r="D40" s="4"/>
      <c r="E40" s="3">
        <f t="shared" si="0"/>
        <v>0</v>
      </c>
      <c r="F40" s="3" t="s">
        <v>13</v>
      </c>
      <c r="G40" s="3" t="s">
        <v>14</v>
      </c>
      <c r="H40" s="3" t="s">
        <v>15</v>
      </c>
    </row>
    <row r="41" spans="1:8" ht="12.75">
      <c r="A41" s="2">
        <v>45323</v>
      </c>
      <c r="B41" s="3" t="s">
        <v>11</v>
      </c>
      <c r="C41" s="3" t="s">
        <v>12</v>
      </c>
      <c r="D41" s="4"/>
      <c r="E41" s="3">
        <f t="shared" si="0"/>
        <v>0</v>
      </c>
      <c r="F41" s="3" t="s">
        <v>13</v>
      </c>
      <c r="G41" s="3" t="s">
        <v>14</v>
      </c>
      <c r="H41" s="3" t="s">
        <v>15</v>
      </c>
    </row>
    <row r="42" spans="1:8" ht="12.75">
      <c r="A42" s="2">
        <v>45324</v>
      </c>
      <c r="B42" s="3" t="s">
        <v>11</v>
      </c>
      <c r="C42" s="3" t="s">
        <v>12</v>
      </c>
      <c r="D42" s="4"/>
      <c r="E42" s="3">
        <f t="shared" si="0"/>
        <v>0</v>
      </c>
      <c r="F42" s="3" t="s">
        <v>13</v>
      </c>
      <c r="G42" s="3" t="s">
        <v>14</v>
      </c>
      <c r="H42" s="3" t="s">
        <v>15</v>
      </c>
    </row>
    <row r="43" spans="1:8" ht="12.75">
      <c r="A43" s="2">
        <v>45325</v>
      </c>
      <c r="B43" s="3" t="s">
        <v>11</v>
      </c>
      <c r="C43" s="3" t="s">
        <v>12</v>
      </c>
      <c r="D43" s="4"/>
      <c r="E43" s="3">
        <f t="shared" si="0"/>
        <v>0</v>
      </c>
      <c r="F43" s="3" t="s">
        <v>13</v>
      </c>
      <c r="G43" s="3" t="s">
        <v>14</v>
      </c>
      <c r="H43" s="3" t="s">
        <v>15</v>
      </c>
    </row>
    <row r="44" spans="1:8" ht="12.75">
      <c r="A44" s="2">
        <v>45325</v>
      </c>
      <c r="B44" s="3" t="s">
        <v>24</v>
      </c>
      <c r="C44" s="3" t="s">
        <v>68</v>
      </c>
      <c r="D44" s="4"/>
      <c r="E44" s="3">
        <f t="shared" si="0"/>
        <v>0</v>
      </c>
      <c r="F44" s="3" t="s">
        <v>26</v>
      </c>
      <c r="G44" s="3" t="s">
        <v>19</v>
      </c>
      <c r="H44" s="3" t="s">
        <v>15</v>
      </c>
    </row>
    <row r="45" spans="1:8" ht="12.75">
      <c r="A45" s="2">
        <v>45326</v>
      </c>
      <c r="B45" s="3" t="s">
        <v>69</v>
      </c>
      <c r="C45" s="3" t="s">
        <v>70</v>
      </c>
      <c r="D45" s="4"/>
      <c r="E45" s="3">
        <f t="shared" si="0"/>
        <v>0</v>
      </c>
      <c r="F45" s="3" t="s">
        <v>39</v>
      </c>
      <c r="G45" s="3" t="s">
        <v>36</v>
      </c>
      <c r="H45" s="3" t="s">
        <v>15</v>
      </c>
    </row>
    <row r="46" spans="1:8" ht="12.75">
      <c r="A46" s="2">
        <v>45326</v>
      </c>
      <c r="B46" s="3" t="s">
        <v>71</v>
      </c>
      <c r="C46" s="3" t="s">
        <v>72</v>
      </c>
      <c r="D46" s="4"/>
      <c r="E46" s="3">
        <f t="shared" si="0"/>
        <v>0</v>
      </c>
      <c r="F46" s="3" t="s">
        <v>35</v>
      </c>
      <c r="G46" s="3" t="s">
        <v>36</v>
      </c>
      <c r="H46" s="3" t="s">
        <v>15</v>
      </c>
    </row>
    <row r="47" spans="1:8" ht="12.75">
      <c r="A47" s="2">
        <v>45327</v>
      </c>
      <c r="B47" s="3" t="s">
        <v>37</v>
      </c>
      <c r="C47" s="3" t="s">
        <v>73</v>
      </c>
      <c r="D47" s="4"/>
      <c r="E47" s="3">
        <f t="shared" si="0"/>
        <v>0</v>
      </c>
      <c r="F47" s="3" t="s">
        <v>39</v>
      </c>
      <c r="G47" s="3" t="s">
        <v>36</v>
      </c>
      <c r="H47" s="3" t="s">
        <v>15</v>
      </c>
    </row>
    <row r="48" spans="1:8" ht="12.75">
      <c r="A48" s="2">
        <v>45327</v>
      </c>
      <c r="B48" s="3" t="s">
        <v>43</v>
      </c>
      <c r="C48" s="3" t="s">
        <v>74</v>
      </c>
      <c r="D48" s="4"/>
      <c r="E48" s="3">
        <f t="shared" si="0"/>
        <v>0</v>
      </c>
      <c r="F48" s="3" t="s">
        <v>45</v>
      </c>
      <c r="G48" s="3" t="s">
        <v>23</v>
      </c>
      <c r="H48" s="3" t="s">
        <v>15</v>
      </c>
    </row>
    <row r="49" spans="1:8" ht="12.75">
      <c r="A49" s="2">
        <v>45328</v>
      </c>
      <c r="B49" s="3" t="s">
        <v>7</v>
      </c>
      <c r="C49" s="4">
        <v>0</v>
      </c>
      <c r="D49" s="3" t="s">
        <v>8</v>
      </c>
      <c r="E49" s="3" t="str">
        <f t="shared" si="0"/>
        <v>₹120,000.00</v>
      </c>
      <c r="F49" s="3" t="s">
        <v>75</v>
      </c>
      <c r="G49" s="3" t="s">
        <v>9</v>
      </c>
      <c r="H49" s="3" t="s">
        <v>10</v>
      </c>
    </row>
    <row r="50" spans="1:8" ht="12.75">
      <c r="A50" s="2">
        <v>45328</v>
      </c>
      <c r="B50" s="3" t="s">
        <v>11</v>
      </c>
      <c r="C50" s="3" t="s">
        <v>12</v>
      </c>
      <c r="D50" s="4"/>
      <c r="E50" s="3">
        <f t="shared" si="0"/>
        <v>0</v>
      </c>
      <c r="F50" s="3" t="s">
        <v>13</v>
      </c>
      <c r="G50" s="3" t="s">
        <v>14</v>
      </c>
      <c r="H50" s="3" t="s">
        <v>15</v>
      </c>
    </row>
    <row r="51" spans="1:8" ht="12.75">
      <c r="A51" s="2">
        <v>45329</v>
      </c>
      <c r="B51" s="3" t="s">
        <v>16</v>
      </c>
      <c r="C51" s="3" t="s">
        <v>17</v>
      </c>
      <c r="D51" s="4"/>
      <c r="E51" s="3">
        <f t="shared" si="0"/>
        <v>0</v>
      </c>
      <c r="F51" s="3" t="s">
        <v>18</v>
      </c>
      <c r="G51" s="3" t="s">
        <v>19</v>
      </c>
      <c r="H51" s="3" t="s">
        <v>15</v>
      </c>
    </row>
    <row r="52" spans="1:8" ht="12.75">
      <c r="A52" s="2">
        <v>45329</v>
      </c>
      <c r="B52" s="3" t="s">
        <v>20</v>
      </c>
      <c r="C52" s="3" t="s">
        <v>21</v>
      </c>
      <c r="D52" s="4"/>
      <c r="E52" s="3">
        <f t="shared" si="0"/>
        <v>0</v>
      </c>
      <c r="F52" s="3" t="s">
        <v>22</v>
      </c>
      <c r="G52" s="3" t="s">
        <v>23</v>
      </c>
      <c r="H52" s="3" t="s">
        <v>15</v>
      </c>
    </row>
    <row r="53" spans="1:8" ht="12.75">
      <c r="A53" s="2">
        <v>45329</v>
      </c>
      <c r="B53" s="3" t="s">
        <v>11</v>
      </c>
      <c r="C53" s="3" t="s">
        <v>12</v>
      </c>
      <c r="D53" s="4"/>
      <c r="E53" s="3">
        <f t="shared" si="0"/>
        <v>0</v>
      </c>
      <c r="F53" s="3" t="s">
        <v>13</v>
      </c>
      <c r="G53" s="3" t="s">
        <v>14</v>
      </c>
      <c r="H53" s="3" t="s">
        <v>15</v>
      </c>
    </row>
    <row r="54" spans="1:8" ht="12.75">
      <c r="A54" s="2">
        <v>45330</v>
      </c>
      <c r="B54" s="3" t="s">
        <v>11</v>
      </c>
      <c r="C54" s="3" t="s">
        <v>12</v>
      </c>
      <c r="D54" s="4"/>
      <c r="E54" s="3">
        <f t="shared" si="0"/>
        <v>0</v>
      </c>
      <c r="F54" s="3" t="s">
        <v>13</v>
      </c>
      <c r="G54" s="3" t="s">
        <v>14</v>
      </c>
      <c r="H54" s="3" t="s">
        <v>15</v>
      </c>
    </row>
    <row r="55" spans="1:8" ht="12.75">
      <c r="A55" s="2">
        <v>45331</v>
      </c>
      <c r="B55" s="3" t="s">
        <v>11</v>
      </c>
      <c r="C55" s="3" t="s">
        <v>12</v>
      </c>
      <c r="D55" s="4"/>
      <c r="E55" s="3">
        <f t="shared" si="0"/>
        <v>0</v>
      </c>
      <c r="F55" s="3" t="s">
        <v>13</v>
      </c>
      <c r="G55" s="3" t="s">
        <v>14</v>
      </c>
      <c r="H55" s="3" t="s">
        <v>15</v>
      </c>
    </row>
    <row r="56" spans="1:8" ht="12.75">
      <c r="A56" s="2">
        <v>45332</v>
      </c>
      <c r="B56" s="3" t="s">
        <v>11</v>
      </c>
      <c r="C56" s="3" t="s">
        <v>12</v>
      </c>
      <c r="D56" s="4"/>
      <c r="E56" s="3">
        <f t="shared" si="0"/>
        <v>0</v>
      </c>
      <c r="F56" s="3" t="s">
        <v>13</v>
      </c>
      <c r="G56" s="3" t="s">
        <v>14</v>
      </c>
      <c r="H56" s="3" t="s">
        <v>15</v>
      </c>
    </row>
    <row r="57" spans="1:8" ht="12.75">
      <c r="A57" s="2">
        <v>45332</v>
      </c>
      <c r="B57" s="3" t="s">
        <v>24</v>
      </c>
      <c r="C57" s="3" t="s">
        <v>76</v>
      </c>
      <c r="D57" s="4"/>
      <c r="E57" s="3">
        <f t="shared" si="0"/>
        <v>0</v>
      </c>
      <c r="F57" s="3" t="s">
        <v>26</v>
      </c>
      <c r="G57" s="3" t="s">
        <v>19</v>
      </c>
      <c r="H57" s="3" t="s">
        <v>15</v>
      </c>
    </row>
    <row r="58" spans="1:8" ht="12.75">
      <c r="A58" s="2">
        <v>45335</v>
      </c>
      <c r="B58" s="3" t="s">
        <v>27</v>
      </c>
      <c r="C58" s="3" t="s">
        <v>77</v>
      </c>
      <c r="D58" s="4"/>
      <c r="E58" s="3">
        <f t="shared" si="0"/>
        <v>0</v>
      </c>
      <c r="F58" s="3" t="s">
        <v>29</v>
      </c>
      <c r="G58" s="3" t="s">
        <v>19</v>
      </c>
      <c r="H58" s="3" t="s">
        <v>15</v>
      </c>
    </row>
    <row r="59" spans="1:8" ht="12.75">
      <c r="A59" s="2">
        <v>45335</v>
      </c>
      <c r="B59" s="3" t="s">
        <v>11</v>
      </c>
      <c r="C59" s="3" t="s">
        <v>12</v>
      </c>
      <c r="D59" s="4"/>
      <c r="E59" s="3">
        <f t="shared" si="0"/>
        <v>0</v>
      </c>
      <c r="F59" s="3" t="s">
        <v>13</v>
      </c>
      <c r="G59" s="3" t="s">
        <v>14</v>
      </c>
      <c r="H59" s="3" t="s">
        <v>15</v>
      </c>
    </row>
    <row r="60" spans="1:8" ht="12.75">
      <c r="A60" s="2">
        <v>45336</v>
      </c>
      <c r="B60" s="3" t="s">
        <v>11</v>
      </c>
      <c r="C60" s="3" t="s">
        <v>12</v>
      </c>
      <c r="D60" s="4"/>
      <c r="E60" s="3">
        <f t="shared" si="0"/>
        <v>0</v>
      </c>
      <c r="F60" s="3" t="s">
        <v>13</v>
      </c>
      <c r="G60" s="3" t="s">
        <v>14</v>
      </c>
      <c r="H60" s="3" t="s">
        <v>15</v>
      </c>
    </row>
    <row r="61" spans="1:8" ht="12.75">
      <c r="A61" s="2">
        <v>45337</v>
      </c>
      <c r="B61" s="3" t="s">
        <v>30</v>
      </c>
      <c r="C61" s="3" t="s">
        <v>78</v>
      </c>
      <c r="D61" s="4"/>
      <c r="E61" s="3">
        <f t="shared" si="0"/>
        <v>0</v>
      </c>
      <c r="F61" s="3" t="s">
        <v>67</v>
      </c>
      <c r="G61" s="3" t="s">
        <v>23</v>
      </c>
      <c r="H61" s="3" t="s">
        <v>15</v>
      </c>
    </row>
    <row r="62" spans="1:8" ht="12.75">
      <c r="A62" s="2">
        <v>45337</v>
      </c>
      <c r="B62" s="3" t="s">
        <v>11</v>
      </c>
      <c r="C62" s="3" t="s">
        <v>12</v>
      </c>
      <c r="D62" s="4"/>
      <c r="E62" s="3">
        <f t="shared" si="0"/>
        <v>0</v>
      </c>
      <c r="F62" s="3" t="s">
        <v>13</v>
      </c>
      <c r="G62" s="3" t="s">
        <v>14</v>
      </c>
      <c r="H62" s="3" t="s">
        <v>15</v>
      </c>
    </row>
    <row r="63" spans="1:8" ht="12.75">
      <c r="A63" s="2">
        <v>45338</v>
      </c>
      <c r="B63" s="3" t="s">
        <v>11</v>
      </c>
      <c r="C63" s="3" t="s">
        <v>12</v>
      </c>
      <c r="D63" s="4"/>
      <c r="E63" s="3">
        <f t="shared" si="0"/>
        <v>0</v>
      </c>
      <c r="F63" s="3" t="s">
        <v>13</v>
      </c>
      <c r="G63" s="3" t="s">
        <v>14</v>
      </c>
      <c r="H63" s="3" t="s">
        <v>15</v>
      </c>
    </row>
    <row r="64" spans="1:8" ht="12.75">
      <c r="A64" s="2">
        <v>45339</v>
      </c>
      <c r="B64" s="3" t="s">
        <v>24</v>
      </c>
      <c r="C64" s="3" t="s">
        <v>79</v>
      </c>
      <c r="D64" s="4"/>
      <c r="E64" s="3">
        <f t="shared" si="0"/>
        <v>0</v>
      </c>
      <c r="F64" s="3" t="s">
        <v>26</v>
      </c>
      <c r="G64" s="3" t="s">
        <v>19</v>
      </c>
      <c r="H64" s="3" t="s">
        <v>15</v>
      </c>
    </row>
    <row r="65" spans="1:8" ht="12.75">
      <c r="A65" s="2">
        <v>45339</v>
      </c>
      <c r="B65" s="3" t="s">
        <v>11</v>
      </c>
      <c r="C65" s="3" t="s">
        <v>12</v>
      </c>
      <c r="D65" s="4"/>
      <c r="E65" s="3">
        <f t="shared" si="0"/>
        <v>0</v>
      </c>
      <c r="F65" s="3" t="s">
        <v>13</v>
      </c>
      <c r="G65" s="3" t="s">
        <v>14</v>
      </c>
      <c r="H65" s="3" t="s">
        <v>15</v>
      </c>
    </row>
    <row r="66" spans="1:8" ht="12.75">
      <c r="A66" s="2">
        <v>45340</v>
      </c>
      <c r="B66" s="3" t="s">
        <v>11</v>
      </c>
      <c r="C66" s="3" t="s">
        <v>12</v>
      </c>
      <c r="D66" s="4"/>
      <c r="E66" s="3">
        <f t="shared" si="0"/>
        <v>0</v>
      </c>
      <c r="F66" s="3" t="s">
        <v>13</v>
      </c>
      <c r="G66" s="3" t="s">
        <v>14</v>
      </c>
      <c r="H66" s="3" t="s">
        <v>15</v>
      </c>
    </row>
    <row r="67" spans="1:8" ht="12.75">
      <c r="A67" s="2">
        <v>45340</v>
      </c>
      <c r="B67" s="3" t="s">
        <v>33</v>
      </c>
      <c r="C67" s="3" t="s">
        <v>80</v>
      </c>
      <c r="D67" s="4"/>
      <c r="E67" s="3">
        <f t="shared" ref="E67:E130" si="1">IF(D67="",0,D67)</f>
        <v>0</v>
      </c>
      <c r="F67" s="3" t="s">
        <v>35</v>
      </c>
      <c r="G67" s="3" t="s">
        <v>36</v>
      </c>
      <c r="H67" s="3" t="s">
        <v>15</v>
      </c>
    </row>
    <row r="68" spans="1:8" ht="12.75">
      <c r="A68" s="2">
        <v>45340</v>
      </c>
      <c r="B68" s="3" t="s">
        <v>81</v>
      </c>
      <c r="C68" s="3" t="s">
        <v>82</v>
      </c>
      <c r="D68" s="4"/>
      <c r="E68" s="3">
        <f t="shared" si="1"/>
        <v>0</v>
      </c>
      <c r="F68" s="3" t="s">
        <v>39</v>
      </c>
      <c r="G68" s="3" t="s">
        <v>36</v>
      </c>
      <c r="H68" s="3" t="s">
        <v>15</v>
      </c>
    </row>
    <row r="69" spans="1:8" ht="12.75">
      <c r="A69" s="2">
        <v>45340</v>
      </c>
      <c r="B69" s="3" t="s">
        <v>40</v>
      </c>
      <c r="C69" s="3" t="s">
        <v>83</v>
      </c>
      <c r="D69" s="4"/>
      <c r="E69" s="3">
        <f t="shared" si="1"/>
        <v>0</v>
      </c>
      <c r="F69" s="3" t="s">
        <v>42</v>
      </c>
      <c r="G69" s="3" t="s">
        <v>14</v>
      </c>
      <c r="H69" s="3" t="s">
        <v>15</v>
      </c>
    </row>
    <row r="70" spans="1:8" ht="12.75">
      <c r="A70" s="2">
        <v>45341</v>
      </c>
      <c r="B70" s="3" t="s">
        <v>43</v>
      </c>
      <c r="C70" s="3" t="s">
        <v>84</v>
      </c>
      <c r="D70" s="4"/>
      <c r="E70" s="3">
        <f t="shared" si="1"/>
        <v>0</v>
      </c>
      <c r="F70" s="3" t="s">
        <v>45</v>
      </c>
      <c r="G70" s="3" t="s">
        <v>23</v>
      </c>
      <c r="H70" s="3" t="s">
        <v>15</v>
      </c>
    </row>
    <row r="71" spans="1:8" ht="12.75">
      <c r="A71" s="2">
        <v>45342</v>
      </c>
      <c r="B71" s="3" t="s">
        <v>46</v>
      </c>
      <c r="C71" s="4">
        <v>0</v>
      </c>
      <c r="D71" s="3" t="s">
        <v>85</v>
      </c>
      <c r="E71" s="3" t="str">
        <f t="shared" si="1"/>
        <v>₹19,200.00</v>
      </c>
      <c r="F71" s="3" t="s">
        <v>48</v>
      </c>
      <c r="G71" s="3" t="s">
        <v>49</v>
      </c>
      <c r="H71" s="3" t="s">
        <v>10</v>
      </c>
    </row>
    <row r="72" spans="1:8" ht="12.75">
      <c r="A72" s="2">
        <v>45342</v>
      </c>
      <c r="B72" s="3" t="s">
        <v>11</v>
      </c>
      <c r="C72" s="3" t="s">
        <v>12</v>
      </c>
      <c r="D72" s="4"/>
      <c r="E72" s="3">
        <f t="shared" si="1"/>
        <v>0</v>
      </c>
      <c r="F72" s="3" t="s">
        <v>13</v>
      </c>
      <c r="G72" s="3" t="s">
        <v>14</v>
      </c>
      <c r="H72" s="3" t="s">
        <v>15</v>
      </c>
    </row>
    <row r="73" spans="1:8" ht="12.75">
      <c r="A73" s="2">
        <v>45343</v>
      </c>
      <c r="B73" s="3" t="s">
        <v>11</v>
      </c>
      <c r="C73" s="3" t="s">
        <v>12</v>
      </c>
      <c r="D73" s="4"/>
      <c r="E73" s="3">
        <f t="shared" si="1"/>
        <v>0</v>
      </c>
      <c r="F73" s="3" t="s">
        <v>13</v>
      </c>
      <c r="G73" s="3" t="s">
        <v>14</v>
      </c>
      <c r="H73" s="3" t="s">
        <v>15</v>
      </c>
    </row>
    <row r="74" spans="1:8" ht="12.75">
      <c r="A74" s="2">
        <v>45343</v>
      </c>
      <c r="B74" s="3" t="s">
        <v>51</v>
      </c>
      <c r="C74" s="3" t="s">
        <v>34</v>
      </c>
      <c r="D74" s="4"/>
      <c r="E74" s="3">
        <f t="shared" si="1"/>
        <v>0</v>
      </c>
      <c r="F74" s="3" t="s">
        <v>51</v>
      </c>
      <c r="G74" s="3" t="s">
        <v>19</v>
      </c>
      <c r="H74" s="3" t="s">
        <v>15</v>
      </c>
    </row>
    <row r="75" spans="1:8" ht="12.75">
      <c r="A75" s="2">
        <v>45344</v>
      </c>
      <c r="B75" s="3" t="s">
        <v>52</v>
      </c>
      <c r="C75" s="3" t="s">
        <v>86</v>
      </c>
      <c r="D75" s="4"/>
      <c r="E75" s="3">
        <f t="shared" si="1"/>
        <v>0</v>
      </c>
      <c r="F75" s="3" t="s">
        <v>54</v>
      </c>
      <c r="G75" s="3" t="s">
        <v>36</v>
      </c>
      <c r="H75" s="3" t="s">
        <v>15</v>
      </c>
    </row>
    <row r="76" spans="1:8" ht="12.75">
      <c r="A76" s="2">
        <v>45344</v>
      </c>
      <c r="B76" s="3" t="s">
        <v>55</v>
      </c>
      <c r="C76" s="3" t="s">
        <v>87</v>
      </c>
      <c r="D76" s="4"/>
      <c r="E76" s="3">
        <f t="shared" si="1"/>
        <v>0</v>
      </c>
      <c r="F76" s="3" t="s">
        <v>35</v>
      </c>
      <c r="G76" s="3" t="s">
        <v>36</v>
      </c>
      <c r="H76" s="3" t="s">
        <v>15</v>
      </c>
    </row>
    <row r="77" spans="1:8" ht="12.75">
      <c r="A77" s="2">
        <v>45344</v>
      </c>
      <c r="B77" s="3" t="s">
        <v>11</v>
      </c>
      <c r="C77" s="3" t="s">
        <v>12</v>
      </c>
      <c r="D77" s="4"/>
      <c r="E77" s="3">
        <f t="shared" si="1"/>
        <v>0</v>
      </c>
      <c r="F77" s="3" t="s">
        <v>13</v>
      </c>
      <c r="G77" s="3" t="s">
        <v>14</v>
      </c>
      <c r="H77" s="3" t="s">
        <v>15</v>
      </c>
    </row>
    <row r="78" spans="1:8" ht="12.75">
      <c r="A78" s="2">
        <v>45345</v>
      </c>
      <c r="B78" s="3" t="s">
        <v>11</v>
      </c>
      <c r="C78" s="3" t="s">
        <v>12</v>
      </c>
      <c r="D78" s="4"/>
      <c r="E78" s="3">
        <f t="shared" si="1"/>
        <v>0</v>
      </c>
      <c r="F78" s="3" t="s">
        <v>13</v>
      </c>
      <c r="G78" s="3" t="s">
        <v>14</v>
      </c>
      <c r="H78" s="3" t="s">
        <v>15</v>
      </c>
    </row>
    <row r="79" spans="1:8" ht="12.75">
      <c r="A79" s="2">
        <v>45346</v>
      </c>
      <c r="B79" s="3" t="s">
        <v>11</v>
      </c>
      <c r="C79" s="3" t="s">
        <v>12</v>
      </c>
      <c r="D79" s="4"/>
      <c r="E79" s="3">
        <f t="shared" si="1"/>
        <v>0</v>
      </c>
      <c r="F79" s="3" t="s">
        <v>13</v>
      </c>
      <c r="G79" s="3" t="s">
        <v>14</v>
      </c>
      <c r="H79" s="3" t="s">
        <v>15</v>
      </c>
    </row>
    <row r="80" spans="1:8" ht="12.75">
      <c r="A80" s="2">
        <v>45346</v>
      </c>
      <c r="B80" s="3" t="s">
        <v>24</v>
      </c>
      <c r="C80" s="3" t="s">
        <v>88</v>
      </c>
      <c r="D80" s="4"/>
      <c r="E80" s="3">
        <f t="shared" si="1"/>
        <v>0</v>
      </c>
      <c r="F80" s="3" t="s">
        <v>26</v>
      </c>
      <c r="G80" s="3" t="s">
        <v>19</v>
      </c>
      <c r="H80" s="3" t="s">
        <v>15</v>
      </c>
    </row>
    <row r="81" spans="1:8" ht="12.75">
      <c r="A81" s="2">
        <v>45347</v>
      </c>
      <c r="B81" s="3" t="s">
        <v>58</v>
      </c>
      <c r="C81" s="3" t="s">
        <v>89</v>
      </c>
      <c r="D81" s="4"/>
      <c r="E81" s="3">
        <f t="shared" si="1"/>
        <v>0</v>
      </c>
      <c r="F81" s="3" t="s">
        <v>42</v>
      </c>
      <c r="G81" s="3" t="s">
        <v>14</v>
      </c>
      <c r="H81" s="3" t="s">
        <v>15</v>
      </c>
    </row>
    <row r="82" spans="1:8" ht="12.75">
      <c r="A82" s="2">
        <v>45348</v>
      </c>
      <c r="B82" s="3" t="s">
        <v>60</v>
      </c>
      <c r="C82" s="3" t="s">
        <v>90</v>
      </c>
      <c r="D82" s="4"/>
      <c r="E82" s="3">
        <f t="shared" si="1"/>
        <v>0</v>
      </c>
      <c r="F82" s="3" t="s">
        <v>42</v>
      </c>
      <c r="G82" s="3" t="s">
        <v>14</v>
      </c>
      <c r="H82" s="3" t="s">
        <v>15</v>
      </c>
    </row>
    <row r="83" spans="1:8" ht="12.75">
      <c r="A83" s="2">
        <v>45349</v>
      </c>
      <c r="B83" s="3" t="s">
        <v>62</v>
      </c>
      <c r="C83" s="3" t="s">
        <v>63</v>
      </c>
      <c r="D83" s="4"/>
      <c r="E83" s="3">
        <f t="shared" si="1"/>
        <v>0</v>
      </c>
      <c r="F83" s="3" t="s">
        <v>64</v>
      </c>
      <c r="G83" s="3" t="s">
        <v>65</v>
      </c>
      <c r="H83" s="3" t="s">
        <v>15</v>
      </c>
    </row>
    <row r="84" spans="1:8" ht="12.75">
      <c r="A84" s="2">
        <v>45349</v>
      </c>
      <c r="B84" s="3" t="s">
        <v>30</v>
      </c>
      <c r="C84" s="3" t="s">
        <v>91</v>
      </c>
      <c r="D84" s="4"/>
      <c r="E84" s="3">
        <f t="shared" si="1"/>
        <v>0</v>
      </c>
      <c r="F84" s="3" t="s">
        <v>67</v>
      </c>
      <c r="G84" s="3" t="s">
        <v>23</v>
      </c>
      <c r="H84" s="3" t="s">
        <v>15</v>
      </c>
    </row>
    <row r="85" spans="1:8" ht="12.75">
      <c r="A85" s="2">
        <v>45349</v>
      </c>
      <c r="B85" s="3" t="s">
        <v>11</v>
      </c>
      <c r="C85" s="3" t="s">
        <v>12</v>
      </c>
      <c r="D85" s="4"/>
      <c r="E85" s="3">
        <f t="shared" si="1"/>
        <v>0</v>
      </c>
      <c r="F85" s="3" t="s">
        <v>13</v>
      </c>
      <c r="G85" s="3" t="s">
        <v>14</v>
      </c>
      <c r="H85" s="3" t="s">
        <v>15</v>
      </c>
    </row>
    <row r="86" spans="1:8" ht="12.75">
      <c r="A86" s="2">
        <v>45350</v>
      </c>
      <c r="B86" s="3" t="s">
        <v>11</v>
      </c>
      <c r="C86" s="3" t="s">
        <v>12</v>
      </c>
      <c r="D86" s="4"/>
      <c r="E86" s="3">
        <f t="shared" si="1"/>
        <v>0</v>
      </c>
      <c r="F86" s="3" t="s">
        <v>13</v>
      </c>
      <c r="G86" s="3" t="s">
        <v>14</v>
      </c>
      <c r="H86" s="3" t="s">
        <v>15</v>
      </c>
    </row>
    <row r="87" spans="1:8" ht="12.75">
      <c r="A87" s="2">
        <v>45351</v>
      </c>
      <c r="B87" s="3" t="s">
        <v>11</v>
      </c>
      <c r="C87" s="3" t="s">
        <v>12</v>
      </c>
      <c r="D87" s="4"/>
      <c r="E87" s="3">
        <f t="shared" si="1"/>
        <v>0</v>
      </c>
      <c r="F87" s="3" t="s">
        <v>13</v>
      </c>
      <c r="G87" s="3" t="s">
        <v>14</v>
      </c>
      <c r="H87" s="3" t="s">
        <v>15</v>
      </c>
    </row>
    <row r="88" spans="1:8" ht="12.75">
      <c r="A88" s="2">
        <v>45352</v>
      </c>
      <c r="B88" s="3" t="s">
        <v>11</v>
      </c>
      <c r="C88" s="3" t="s">
        <v>12</v>
      </c>
      <c r="D88" s="4"/>
      <c r="E88" s="3">
        <f t="shared" si="1"/>
        <v>0</v>
      </c>
      <c r="F88" s="3" t="s">
        <v>13</v>
      </c>
      <c r="G88" s="3" t="s">
        <v>14</v>
      </c>
      <c r="H88" s="3" t="s">
        <v>15</v>
      </c>
    </row>
    <row r="89" spans="1:8" ht="12.75">
      <c r="A89" s="2">
        <v>45353</v>
      </c>
      <c r="B89" s="3" t="s">
        <v>11</v>
      </c>
      <c r="C89" s="3" t="s">
        <v>12</v>
      </c>
      <c r="D89" s="4"/>
      <c r="E89" s="3">
        <f t="shared" si="1"/>
        <v>0</v>
      </c>
      <c r="F89" s="3" t="s">
        <v>13</v>
      </c>
      <c r="G89" s="3" t="s">
        <v>14</v>
      </c>
      <c r="H89" s="3" t="s">
        <v>15</v>
      </c>
    </row>
    <row r="90" spans="1:8" ht="12.75">
      <c r="A90" s="2">
        <v>45353</v>
      </c>
      <c r="B90" s="3" t="s">
        <v>24</v>
      </c>
      <c r="C90" s="3" t="s">
        <v>92</v>
      </c>
      <c r="D90" s="4"/>
      <c r="E90" s="3">
        <f t="shared" si="1"/>
        <v>0</v>
      </c>
      <c r="F90" s="3" t="s">
        <v>26</v>
      </c>
      <c r="G90" s="3" t="s">
        <v>19</v>
      </c>
      <c r="H90" s="3" t="s">
        <v>15</v>
      </c>
    </row>
    <row r="91" spans="1:8" ht="12.75">
      <c r="A91" s="2">
        <v>45354</v>
      </c>
      <c r="B91" s="3" t="s">
        <v>69</v>
      </c>
      <c r="C91" s="3" t="s">
        <v>93</v>
      </c>
      <c r="D91" s="4"/>
      <c r="E91" s="3">
        <f t="shared" si="1"/>
        <v>0</v>
      </c>
      <c r="F91" s="3" t="s">
        <v>39</v>
      </c>
      <c r="G91" s="3" t="s">
        <v>36</v>
      </c>
      <c r="H91" s="3" t="s">
        <v>15</v>
      </c>
    </row>
    <row r="92" spans="1:8" ht="12.75">
      <c r="A92" s="2">
        <v>45354</v>
      </c>
      <c r="B92" s="3" t="s">
        <v>94</v>
      </c>
      <c r="C92" s="3" t="s">
        <v>95</v>
      </c>
      <c r="D92" s="4"/>
      <c r="E92" s="3">
        <f t="shared" si="1"/>
        <v>0</v>
      </c>
      <c r="F92" s="3" t="s">
        <v>39</v>
      </c>
      <c r="G92" s="3" t="s">
        <v>36</v>
      </c>
      <c r="H92" s="3" t="s">
        <v>15</v>
      </c>
    </row>
    <row r="93" spans="1:8" ht="12.75">
      <c r="A93" s="2">
        <v>45355</v>
      </c>
      <c r="B93" s="3" t="s">
        <v>37</v>
      </c>
      <c r="C93" s="3" t="s">
        <v>96</v>
      </c>
      <c r="D93" s="4"/>
      <c r="E93" s="3">
        <f t="shared" si="1"/>
        <v>0</v>
      </c>
      <c r="F93" s="3" t="s">
        <v>39</v>
      </c>
      <c r="G93" s="3" t="s">
        <v>36</v>
      </c>
      <c r="H93" s="3" t="s">
        <v>15</v>
      </c>
    </row>
    <row r="94" spans="1:8" ht="12.75">
      <c r="A94" s="2">
        <v>45355</v>
      </c>
      <c r="B94" s="3" t="s">
        <v>43</v>
      </c>
      <c r="C94" s="3" t="s">
        <v>97</v>
      </c>
      <c r="D94" s="4"/>
      <c r="E94" s="3">
        <f t="shared" si="1"/>
        <v>0</v>
      </c>
      <c r="F94" s="3" t="s">
        <v>45</v>
      </c>
      <c r="G94" s="3" t="s">
        <v>23</v>
      </c>
      <c r="H94" s="3" t="s">
        <v>15</v>
      </c>
    </row>
    <row r="95" spans="1:8" ht="12.75">
      <c r="A95" s="2">
        <v>45356</v>
      </c>
      <c r="B95" s="3" t="s">
        <v>7</v>
      </c>
      <c r="C95" s="4">
        <v>0</v>
      </c>
      <c r="D95" s="3" t="s">
        <v>8</v>
      </c>
      <c r="E95" s="3" t="str">
        <f t="shared" si="1"/>
        <v>₹120,000.00</v>
      </c>
      <c r="F95" s="3" t="s">
        <v>75</v>
      </c>
      <c r="G95" s="3" t="s">
        <v>9</v>
      </c>
      <c r="H95" s="3" t="s">
        <v>10</v>
      </c>
    </row>
    <row r="96" spans="1:8" ht="12.75">
      <c r="A96" s="2">
        <v>45356</v>
      </c>
      <c r="B96" s="3" t="s">
        <v>11</v>
      </c>
      <c r="C96" s="3" t="s">
        <v>12</v>
      </c>
      <c r="D96" s="4"/>
      <c r="E96" s="3">
        <f t="shared" si="1"/>
        <v>0</v>
      </c>
      <c r="F96" s="3" t="s">
        <v>13</v>
      </c>
      <c r="G96" s="3" t="s">
        <v>14</v>
      </c>
      <c r="H96" s="3" t="s">
        <v>15</v>
      </c>
    </row>
    <row r="97" spans="1:8" ht="12.75">
      <c r="A97" s="2">
        <v>45357</v>
      </c>
      <c r="B97" s="3" t="s">
        <v>16</v>
      </c>
      <c r="C97" s="3" t="s">
        <v>17</v>
      </c>
      <c r="D97" s="4"/>
      <c r="E97" s="3">
        <f t="shared" si="1"/>
        <v>0</v>
      </c>
      <c r="F97" s="3" t="s">
        <v>18</v>
      </c>
      <c r="G97" s="3" t="s">
        <v>19</v>
      </c>
      <c r="H97" s="3" t="s">
        <v>15</v>
      </c>
    </row>
    <row r="98" spans="1:8" ht="12.75">
      <c r="A98" s="2">
        <v>45357</v>
      </c>
      <c r="B98" s="3" t="s">
        <v>20</v>
      </c>
      <c r="C98" s="3" t="s">
        <v>21</v>
      </c>
      <c r="D98" s="4"/>
      <c r="E98" s="3">
        <f t="shared" si="1"/>
        <v>0</v>
      </c>
      <c r="F98" s="3" t="s">
        <v>22</v>
      </c>
      <c r="G98" s="3" t="s">
        <v>23</v>
      </c>
      <c r="H98" s="3" t="s">
        <v>15</v>
      </c>
    </row>
    <row r="99" spans="1:8" ht="12.75">
      <c r="A99" s="2">
        <v>45357</v>
      </c>
      <c r="B99" s="3" t="s">
        <v>11</v>
      </c>
      <c r="C99" s="3" t="s">
        <v>12</v>
      </c>
      <c r="D99" s="4"/>
      <c r="E99" s="3">
        <f t="shared" si="1"/>
        <v>0</v>
      </c>
      <c r="F99" s="3" t="s">
        <v>13</v>
      </c>
      <c r="G99" s="3" t="s">
        <v>14</v>
      </c>
      <c r="H99" s="3" t="s">
        <v>15</v>
      </c>
    </row>
    <row r="100" spans="1:8" ht="12.75">
      <c r="A100" s="2">
        <v>45358</v>
      </c>
      <c r="B100" s="3" t="s">
        <v>11</v>
      </c>
      <c r="C100" s="3" t="s">
        <v>12</v>
      </c>
      <c r="D100" s="4"/>
      <c r="E100" s="3">
        <f t="shared" si="1"/>
        <v>0</v>
      </c>
      <c r="F100" s="3" t="s">
        <v>13</v>
      </c>
      <c r="G100" s="3" t="s">
        <v>14</v>
      </c>
      <c r="H100" s="3" t="s">
        <v>15</v>
      </c>
    </row>
    <row r="101" spans="1:8" ht="12.75">
      <c r="A101" s="2">
        <v>45359</v>
      </c>
      <c r="B101" s="3" t="s">
        <v>11</v>
      </c>
      <c r="C101" s="3" t="s">
        <v>12</v>
      </c>
      <c r="D101" s="4"/>
      <c r="E101" s="3">
        <f t="shared" si="1"/>
        <v>0</v>
      </c>
      <c r="F101" s="3" t="s">
        <v>13</v>
      </c>
      <c r="G101" s="3" t="s">
        <v>14</v>
      </c>
      <c r="H101" s="3" t="s">
        <v>15</v>
      </c>
    </row>
    <row r="102" spans="1:8" ht="12.75">
      <c r="A102" s="2">
        <v>45360</v>
      </c>
      <c r="B102" s="3" t="s">
        <v>11</v>
      </c>
      <c r="C102" s="3" t="s">
        <v>12</v>
      </c>
      <c r="D102" s="4"/>
      <c r="E102" s="3">
        <f t="shared" si="1"/>
        <v>0</v>
      </c>
      <c r="F102" s="3" t="s">
        <v>13</v>
      </c>
      <c r="G102" s="3" t="s">
        <v>14</v>
      </c>
      <c r="H102" s="3" t="s">
        <v>15</v>
      </c>
    </row>
    <row r="103" spans="1:8" ht="12.75">
      <c r="A103" s="2">
        <v>45360</v>
      </c>
      <c r="B103" s="3" t="s">
        <v>24</v>
      </c>
      <c r="C103" s="3" t="s">
        <v>98</v>
      </c>
      <c r="D103" s="4"/>
      <c r="E103" s="3">
        <f t="shared" si="1"/>
        <v>0</v>
      </c>
      <c r="F103" s="3" t="s">
        <v>26</v>
      </c>
      <c r="G103" s="3" t="s">
        <v>19</v>
      </c>
      <c r="H103" s="3" t="s">
        <v>15</v>
      </c>
    </row>
    <row r="104" spans="1:8" ht="12.75">
      <c r="A104" s="2">
        <v>45363</v>
      </c>
      <c r="B104" s="3" t="s">
        <v>27</v>
      </c>
      <c r="C104" s="3" t="s">
        <v>99</v>
      </c>
      <c r="D104" s="4"/>
      <c r="E104" s="3">
        <f t="shared" si="1"/>
        <v>0</v>
      </c>
      <c r="F104" s="3" t="s">
        <v>29</v>
      </c>
      <c r="G104" s="3" t="s">
        <v>19</v>
      </c>
      <c r="H104" s="3" t="s">
        <v>15</v>
      </c>
    </row>
    <row r="105" spans="1:8" ht="12.75">
      <c r="A105" s="2">
        <v>45363</v>
      </c>
      <c r="B105" s="3" t="s">
        <v>11</v>
      </c>
      <c r="C105" s="3" t="s">
        <v>12</v>
      </c>
      <c r="D105" s="4"/>
      <c r="E105" s="3">
        <f t="shared" si="1"/>
        <v>0</v>
      </c>
      <c r="F105" s="3" t="s">
        <v>13</v>
      </c>
      <c r="G105" s="3" t="s">
        <v>14</v>
      </c>
      <c r="H105" s="3" t="s">
        <v>15</v>
      </c>
    </row>
    <row r="106" spans="1:8" ht="12.75">
      <c r="A106" s="2">
        <v>45364</v>
      </c>
      <c r="B106" s="3" t="s">
        <v>11</v>
      </c>
      <c r="C106" s="3" t="s">
        <v>12</v>
      </c>
      <c r="D106" s="4"/>
      <c r="E106" s="3">
        <f t="shared" si="1"/>
        <v>0</v>
      </c>
      <c r="F106" s="3" t="s">
        <v>13</v>
      </c>
      <c r="G106" s="3" t="s">
        <v>14</v>
      </c>
      <c r="H106" s="3" t="s">
        <v>15</v>
      </c>
    </row>
    <row r="107" spans="1:8" ht="12.75">
      <c r="A107" s="2">
        <v>45365</v>
      </c>
      <c r="B107" s="3" t="s">
        <v>30</v>
      </c>
      <c r="C107" s="3" t="s">
        <v>100</v>
      </c>
      <c r="D107" s="4"/>
      <c r="E107" s="3">
        <f t="shared" si="1"/>
        <v>0</v>
      </c>
      <c r="F107" s="3" t="s">
        <v>67</v>
      </c>
      <c r="G107" s="3" t="s">
        <v>23</v>
      </c>
      <c r="H107" s="3" t="s">
        <v>15</v>
      </c>
    </row>
    <row r="108" spans="1:8" ht="12.75">
      <c r="A108" s="2">
        <v>45365</v>
      </c>
      <c r="B108" s="3" t="s">
        <v>11</v>
      </c>
      <c r="C108" s="3" t="s">
        <v>12</v>
      </c>
      <c r="D108" s="4"/>
      <c r="E108" s="3">
        <f t="shared" si="1"/>
        <v>0</v>
      </c>
      <c r="F108" s="3" t="s">
        <v>13</v>
      </c>
      <c r="G108" s="3" t="s">
        <v>14</v>
      </c>
      <c r="H108" s="3" t="s">
        <v>15</v>
      </c>
    </row>
    <row r="109" spans="1:8" ht="12.75">
      <c r="A109" s="2">
        <v>45366</v>
      </c>
      <c r="B109" s="3" t="s">
        <v>11</v>
      </c>
      <c r="C109" s="3" t="s">
        <v>12</v>
      </c>
      <c r="D109" s="4"/>
      <c r="E109" s="3">
        <f t="shared" si="1"/>
        <v>0</v>
      </c>
      <c r="F109" s="3" t="s">
        <v>13</v>
      </c>
      <c r="G109" s="3" t="s">
        <v>14</v>
      </c>
      <c r="H109" s="3" t="s">
        <v>15</v>
      </c>
    </row>
    <row r="110" spans="1:8" ht="12.75">
      <c r="A110" s="2">
        <v>45367</v>
      </c>
      <c r="B110" s="3" t="s">
        <v>24</v>
      </c>
      <c r="C110" s="3" t="s">
        <v>95</v>
      </c>
      <c r="D110" s="4"/>
      <c r="E110" s="3">
        <f t="shared" si="1"/>
        <v>0</v>
      </c>
      <c r="F110" s="3" t="s">
        <v>26</v>
      </c>
      <c r="G110" s="3" t="s">
        <v>19</v>
      </c>
      <c r="H110" s="3" t="s">
        <v>15</v>
      </c>
    </row>
    <row r="111" spans="1:8" ht="12.75">
      <c r="A111" s="2">
        <v>45367</v>
      </c>
      <c r="B111" s="3" t="s">
        <v>11</v>
      </c>
      <c r="C111" s="3" t="s">
        <v>12</v>
      </c>
      <c r="D111" s="4"/>
      <c r="E111" s="3">
        <f t="shared" si="1"/>
        <v>0</v>
      </c>
      <c r="F111" s="3" t="s">
        <v>13</v>
      </c>
      <c r="G111" s="3" t="s">
        <v>14</v>
      </c>
      <c r="H111" s="3" t="s">
        <v>15</v>
      </c>
    </row>
    <row r="112" spans="1:8" ht="12.75">
      <c r="A112" s="2">
        <v>45368</v>
      </c>
      <c r="B112" s="3" t="s">
        <v>11</v>
      </c>
      <c r="C112" s="3" t="s">
        <v>12</v>
      </c>
      <c r="D112" s="4"/>
      <c r="E112" s="3">
        <f t="shared" si="1"/>
        <v>0</v>
      </c>
      <c r="F112" s="3" t="s">
        <v>13</v>
      </c>
      <c r="G112" s="3" t="s">
        <v>14</v>
      </c>
      <c r="H112" s="3" t="s">
        <v>15</v>
      </c>
    </row>
    <row r="113" spans="1:8" ht="12.75">
      <c r="A113" s="2">
        <v>45368</v>
      </c>
      <c r="B113" s="3" t="s">
        <v>33</v>
      </c>
      <c r="C113" s="3" t="s">
        <v>101</v>
      </c>
      <c r="D113" s="4"/>
      <c r="E113" s="3">
        <f t="shared" si="1"/>
        <v>0</v>
      </c>
      <c r="F113" s="3" t="s">
        <v>35</v>
      </c>
      <c r="G113" s="3" t="s">
        <v>36</v>
      </c>
      <c r="H113" s="3" t="s">
        <v>15</v>
      </c>
    </row>
    <row r="114" spans="1:8" ht="12.75">
      <c r="A114" s="2">
        <v>45368</v>
      </c>
      <c r="B114" s="3" t="s">
        <v>81</v>
      </c>
      <c r="C114" s="3" t="s">
        <v>102</v>
      </c>
      <c r="D114" s="4"/>
      <c r="E114" s="3">
        <f t="shared" si="1"/>
        <v>0</v>
      </c>
      <c r="F114" s="3" t="s">
        <v>39</v>
      </c>
      <c r="G114" s="3" t="s">
        <v>36</v>
      </c>
      <c r="H114" s="3" t="s">
        <v>15</v>
      </c>
    </row>
    <row r="115" spans="1:8" ht="12.75">
      <c r="A115" s="2">
        <v>45368</v>
      </c>
      <c r="B115" s="3" t="s">
        <v>40</v>
      </c>
      <c r="C115" s="3" t="s">
        <v>103</v>
      </c>
      <c r="D115" s="4"/>
      <c r="E115" s="3">
        <f t="shared" si="1"/>
        <v>0</v>
      </c>
      <c r="F115" s="3" t="s">
        <v>42</v>
      </c>
      <c r="G115" s="3" t="s">
        <v>14</v>
      </c>
      <c r="H115" s="3" t="s">
        <v>15</v>
      </c>
    </row>
    <row r="116" spans="1:8" ht="12.75">
      <c r="A116" s="2">
        <v>45369</v>
      </c>
      <c r="B116" s="3" t="s">
        <v>43</v>
      </c>
      <c r="C116" s="3" t="s">
        <v>104</v>
      </c>
      <c r="D116" s="4"/>
      <c r="E116" s="3">
        <f t="shared" si="1"/>
        <v>0</v>
      </c>
      <c r="F116" s="3" t="s">
        <v>45</v>
      </c>
      <c r="G116" s="3" t="s">
        <v>23</v>
      </c>
      <c r="H116" s="3" t="s">
        <v>15</v>
      </c>
    </row>
    <row r="117" spans="1:8" ht="12.75">
      <c r="A117" s="2">
        <v>45370</v>
      </c>
      <c r="B117" s="3" t="s">
        <v>46</v>
      </c>
      <c r="C117" s="4">
        <v>0</v>
      </c>
      <c r="D117" s="3" t="s">
        <v>105</v>
      </c>
      <c r="E117" s="3" t="str">
        <f t="shared" si="1"/>
        <v>₹24,000.00</v>
      </c>
      <c r="F117" s="3" t="s">
        <v>48</v>
      </c>
      <c r="G117" s="3" t="s">
        <v>49</v>
      </c>
      <c r="H117" s="3" t="s">
        <v>10</v>
      </c>
    </row>
    <row r="118" spans="1:8" ht="12.75">
      <c r="A118" s="2">
        <v>45370</v>
      </c>
      <c r="B118" s="3" t="s">
        <v>11</v>
      </c>
      <c r="C118" s="3" t="s">
        <v>12</v>
      </c>
      <c r="D118" s="4"/>
      <c r="E118" s="3">
        <f t="shared" si="1"/>
        <v>0</v>
      </c>
      <c r="F118" s="3" t="s">
        <v>13</v>
      </c>
      <c r="G118" s="3" t="s">
        <v>14</v>
      </c>
      <c r="H118" s="3" t="s">
        <v>15</v>
      </c>
    </row>
    <row r="119" spans="1:8" ht="12.75">
      <c r="A119" s="2">
        <v>45371</v>
      </c>
      <c r="B119" s="3" t="s">
        <v>11</v>
      </c>
      <c r="C119" s="3" t="s">
        <v>12</v>
      </c>
      <c r="D119" s="4"/>
      <c r="E119" s="3">
        <f t="shared" si="1"/>
        <v>0</v>
      </c>
      <c r="F119" s="3" t="s">
        <v>13</v>
      </c>
      <c r="G119" s="3" t="s">
        <v>14</v>
      </c>
      <c r="H119" s="3" t="s">
        <v>15</v>
      </c>
    </row>
    <row r="120" spans="1:8" ht="12.75">
      <c r="A120" s="2">
        <v>45371</v>
      </c>
      <c r="B120" s="3" t="s">
        <v>106</v>
      </c>
      <c r="C120" s="3" t="s">
        <v>107</v>
      </c>
      <c r="D120" s="4"/>
      <c r="E120" s="3">
        <f t="shared" si="1"/>
        <v>0</v>
      </c>
      <c r="F120" s="3" t="s">
        <v>108</v>
      </c>
      <c r="G120" s="3" t="s">
        <v>109</v>
      </c>
      <c r="H120" s="3" t="s">
        <v>15</v>
      </c>
    </row>
    <row r="121" spans="1:8" ht="12.75">
      <c r="A121" s="2">
        <v>45371</v>
      </c>
      <c r="B121" s="3" t="s">
        <v>51</v>
      </c>
      <c r="C121" s="3" t="s">
        <v>34</v>
      </c>
      <c r="D121" s="4"/>
      <c r="E121" s="3">
        <f t="shared" si="1"/>
        <v>0</v>
      </c>
      <c r="F121" s="3" t="s">
        <v>51</v>
      </c>
      <c r="G121" s="3" t="s">
        <v>19</v>
      </c>
      <c r="H121" s="3" t="s">
        <v>15</v>
      </c>
    </row>
    <row r="122" spans="1:8" ht="12.75">
      <c r="A122" s="2">
        <v>45372</v>
      </c>
      <c r="B122" s="3" t="s">
        <v>52</v>
      </c>
      <c r="C122" s="3" t="s">
        <v>110</v>
      </c>
      <c r="D122" s="4"/>
      <c r="E122" s="3">
        <f t="shared" si="1"/>
        <v>0</v>
      </c>
      <c r="F122" s="3" t="s">
        <v>54</v>
      </c>
      <c r="G122" s="3" t="s">
        <v>36</v>
      </c>
      <c r="H122" s="3" t="s">
        <v>15</v>
      </c>
    </row>
    <row r="123" spans="1:8" ht="12.75">
      <c r="A123" s="2">
        <v>45372</v>
      </c>
      <c r="B123" s="3" t="s">
        <v>55</v>
      </c>
      <c r="C123" s="3" t="s">
        <v>87</v>
      </c>
      <c r="D123" s="4"/>
      <c r="E123" s="3">
        <f t="shared" si="1"/>
        <v>0</v>
      </c>
      <c r="F123" s="3" t="s">
        <v>35</v>
      </c>
      <c r="G123" s="3" t="s">
        <v>36</v>
      </c>
      <c r="H123" s="3" t="s">
        <v>15</v>
      </c>
    </row>
    <row r="124" spans="1:8" ht="12.75">
      <c r="A124" s="2">
        <v>45372</v>
      </c>
      <c r="B124" s="3" t="s">
        <v>11</v>
      </c>
      <c r="C124" s="3" t="s">
        <v>12</v>
      </c>
      <c r="D124" s="4"/>
      <c r="E124" s="3">
        <f t="shared" si="1"/>
        <v>0</v>
      </c>
      <c r="F124" s="3" t="s">
        <v>13</v>
      </c>
      <c r="G124" s="3" t="s">
        <v>14</v>
      </c>
      <c r="H124" s="3" t="s">
        <v>15</v>
      </c>
    </row>
    <row r="125" spans="1:8" ht="12.75">
      <c r="A125" s="2">
        <v>45373</v>
      </c>
      <c r="B125" s="3" t="s">
        <v>11</v>
      </c>
      <c r="C125" s="3" t="s">
        <v>12</v>
      </c>
      <c r="D125" s="4"/>
      <c r="E125" s="3">
        <f t="shared" si="1"/>
        <v>0</v>
      </c>
      <c r="F125" s="3" t="s">
        <v>13</v>
      </c>
      <c r="G125" s="3" t="s">
        <v>14</v>
      </c>
      <c r="H125" s="3" t="s">
        <v>15</v>
      </c>
    </row>
    <row r="126" spans="1:8" ht="12.75">
      <c r="A126" s="2">
        <v>45374</v>
      </c>
      <c r="B126" s="3" t="s">
        <v>11</v>
      </c>
      <c r="C126" s="3" t="s">
        <v>12</v>
      </c>
      <c r="D126" s="4"/>
      <c r="E126" s="3">
        <f t="shared" si="1"/>
        <v>0</v>
      </c>
      <c r="F126" s="3" t="s">
        <v>13</v>
      </c>
      <c r="G126" s="3" t="s">
        <v>14</v>
      </c>
      <c r="H126" s="3" t="s">
        <v>15</v>
      </c>
    </row>
    <row r="127" spans="1:8" ht="12.75">
      <c r="A127" s="2">
        <v>45374</v>
      </c>
      <c r="B127" s="3" t="s">
        <v>24</v>
      </c>
      <c r="C127" s="3" t="s">
        <v>111</v>
      </c>
      <c r="D127" s="4"/>
      <c r="E127" s="3">
        <f t="shared" si="1"/>
        <v>0</v>
      </c>
      <c r="F127" s="3" t="s">
        <v>26</v>
      </c>
      <c r="G127" s="3" t="s">
        <v>19</v>
      </c>
      <c r="H127" s="3" t="s">
        <v>15</v>
      </c>
    </row>
    <row r="128" spans="1:8" ht="12.75">
      <c r="A128" s="2">
        <v>45375</v>
      </c>
      <c r="B128" s="3" t="s">
        <v>58</v>
      </c>
      <c r="C128" s="3" t="s">
        <v>112</v>
      </c>
      <c r="D128" s="4"/>
      <c r="E128" s="3">
        <f t="shared" si="1"/>
        <v>0</v>
      </c>
      <c r="F128" s="3" t="s">
        <v>42</v>
      </c>
      <c r="G128" s="3" t="s">
        <v>14</v>
      </c>
      <c r="H128" s="3" t="s">
        <v>15</v>
      </c>
    </row>
    <row r="129" spans="1:8" ht="12.75">
      <c r="A129" s="2">
        <v>45376</v>
      </c>
      <c r="B129" s="3" t="s">
        <v>60</v>
      </c>
      <c r="C129" s="3" t="s">
        <v>113</v>
      </c>
      <c r="D129" s="4"/>
      <c r="E129" s="3">
        <f t="shared" si="1"/>
        <v>0</v>
      </c>
      <c r="F129" s="3" t="s">
        <v>42</v>
      </c>
      <c r="G129" s="3" t="s">
        <v>14</v>
      </c>
      <c r="H129" s="3" t="s">
        <v>15</v>
      </c>
    </row>
    <row r="130" spans="1:8" ht="12.75">
      <c r="A130" s="2">
        <v>45377</v>
      </c>
      <c r="B130" s="3" t="s">
        <v>62</v>
      </c>
      <c r="C130" s="3" t="s">
        <v>63</v>
      </c>
      <c r="D130" s="4"/>
      <c r="E130" s="3">
        <f t="shared" si="1"/>
        <v>0</v>
      </c>
      <c r="F130" s="3" t="s">
        <v>64</v>
      </c>
      <c r="G130" s="3" t="s">
        <v>65</v>
      </c>
      <c r="H130" s="3" t="s">
        <v>15</v>
      </c>
    </row>
    <row r="131" spans="1:8" ht="12.75">
      <c r="A131" s="2">
        <v>45377</v>
      </c>
      <c r="B131" s="3" t="s">
        <v>30</v>
      </c>
      <c r="C131" s="3" t="s">
        <v>114</v>
      </c>
      <c r="D131" s="4"/>
      <c r="E131" s="3">
        <f t="shared" ref="E131:E194" si="2">IF(D131="",0,D131)</f>
        <v>0</v>
      </c>
      <c r="F131" s="3" t="s">
        <v>67</v>
      </c>
      <c r="G131" s="3" t="s">
        <v>23</v>
      </c>
      <c r="H131" s="3" t="s">
        <v>15</v>
      </c>
    </row>
    <row r="132" spans="1:8" ht="12.75">
      <c r="A132" s="2">
        <v>45377</v>
      </c>
      <c r="B132" s="3" t="s">
        <v>11</v>
      </c>
      <c r="C132" s="3" t="s">
        <v>12</v>
      </c>
      <c r="D132" s="4"/>
      <c r="E132" s="3">
        <f t="shared" si="2"/>
        <v>0</v>
      </c>
      <c r="F132" s="3" t="s">
        <v>13</v>
      </c>
      <c r="G132" s="3" t="s">
        <v>14</v>
      </c>
      <c r="H132" s="3" t="s">
        <v>15</v>
      </c>
    </row>
    <row r="133" spans="1:8" ht="12.75">
      <c r="A133" s="2">
        <v>45378</v>
      </c>
      <c r="B133" s="3" t="s">
        <v>11</v>
      </c>
      <c r="C133" s="3" t="s">
        <v>12</v>
      </c>
      <c r="D133" s="4"/>
      <c r="E133" s="3">
        <f t="shared" si="2"/>
        <v>0</v>
      </c>
      <c r="F133" s="3" t="s">
        <v>13</v>
      </c>
      <c r="G133" s="3" t="s">
        <v>14</v>
      </c>
      <c r="H133" s="3" t="s">
        <v>15</v>
      </c>
    </row>
    <row r="134" spans="1:8" ht="12.75">
      <c r="A134" s="2">
        <v>45379</v>
      </c>
      <c r="B134" s="3" t="s">
        <v>11</v>
      </c>
      <c r="C134" s="3" t="s">
        <v>12</v>
      </c>
      <c r="D134" s="4"/>
      <c r="E134" s="3">
        <f t="shared" si="2"/>
        <v>0</v>
      </c>
      <c r="F134" s="3" t="s">
        <v>13</v>
      </c>
      <c r="G134" s="3" t="s">
        <v>14</v>
      </c>
      <c r="H134" s="3" t="s">
        <v>15</v>
      </c>
    </row>
    <row r="135" spans="1:8" ht="12.75">
      <c r="A135" s="2">
        <v>45380</v>
      </c>
      <c r="B135" s="3" t="s">
        <v>11</v>
      </c>
      <c r="C135" s="3" t="s">
        <v>12</v>
      </c>
      <c r="D135" s="4"/>
      <c r="E135" s="3">
        <f t="shared" si="2"/>
        <v>0</v>
      </c>
      <c r="F135" s="3" t="s">
        <v>13</v>
      </c>
      <c r="G135" s="3" t="s">
        <v>14</v>
      </c>
      <c r="H135" s="3" t="s">
        <v>15</v>
      </c>
    </row>
    <row r="136" spans="1:8" ht="12.75">
      <c r="A136" s="2">
        <v>45381</v>
      </c>
      <c r="B136" s="3" t="s">
        <v>11</v>
      </c>
      <c r="C136" s="3" t="s">
        <v>12</v>
      </c>
      <c r="D136" s="4"/>
      <c r="E136" s="3">
        <f t="shared" si="2"/>
        <v>0</v>
      </c>
      <c r="F136" s="3" t="s">
        <v>13</v>
      </c>
      <c r="G136" s="3" t="s">
        <v>14</v>
      </c>
      <c r="H136" s="3" t="s">
        <v>15</v>
      </c>
    </row>
    <row r="137" spans="1:8" ht="12.75">
      <c r="A137" s="2">
        <v>45381</v>
      </c>
      <c r="B137" s="3" t="s">
        <v>24</v>
      </c>
      <c r="C137" s="3" t="s">
        <v>115</v>
      </c>
      <c r="D137" s="4"/>
      <c r="E137" s="3">
        <f t="shared" si="2"/>
        <v>0</v>
      </c>
      <c r="F137" s="3" t="s">
        <v>26</v>
      </c>
      <c r="G137" s="3" t="s">
        <v>19</v>
      </c>
      <c r="H137" s="3" t="s">
        <v>15</v>
      </c>
    </row>
    <row r="138" spans="1:8" ht="12.75">
      <c r="A138" s="2">
        <v>45382</v>
      </c>
      <c r="B138" s="3" t="s">
        <v>69</v>
      </c>
      <c r="C138" s="3" t="s">
        <v>116</v>
      </c>
      <c r="D138" s="4"/>
      <c r="E138" s="3">
        <f t="shared" si="2"/>
        <v>0</v>
      </c>
      <c r="F138" s="3" t="s">
        <v>39</v>
      </c>
      <c r="G138" s="3" t="s">
        <v>36</v>
      </c>
      <c r="H138" s="3" t="s">
        <v>15</v>
      </c>
    </row>
    <row r="139" spans="1:8" ht="12.75">
      <c r="A139" s="2">
        <v>45382</v>
      </c>
      <c r="B139" s="3" t="s">
        <v>117</v>
      </c>
      <c r="C139" s="3" t="s">
        <v>118</v>
      </c>
      <c r="D139" s="4"/>
      <c r="E139" s="3">
        <f t="shared" si="2"/>
        <v>0</v>
      </c>
      <c r="F139" s="3" t="s">
        <v>39</v>
      </c>
      <c r="G139" s="3" t="s">
        <v>36</v>
      </c>
      <c r="H139" s="3" t="s">
        <v>15</v>
      </c>
    </row>
    <row r="140" spans="1:8" ht="12.75">
      <c r="A140" s="2">
        <v>45383</v>
      </c>
      <c r="B140" s="3" t="s">
        <v>37</v>
      </c>
      <c r="C140" s="3" t="s">
        <v>119</v>
      </c>
      <c r="D140" s="4"/>
      <c r="E140" s="3">
        <f t="shared" si="2"/>
        <v>0</v>
      </c>
      <c r="F140" s="3" t="s">
        <v>39</v>
      </c>
      <c r="G140" s="3" t="s">
        <v>36</v>
      </c>
      <c r="H140" s="3" t="s">
        <v>15</v>
      </c>
    </row>
    <row r="141" spans="1:8" ht="12.75">
      <c r="A141" s="2">
        <v>45383</v>
      </c>
      <c r="B141" s="3" t="s">
        <v>43</v>
      </c>
      <c r="C141" s="3" t="s">
        <v>120</v>
      </c>
      <c r="D141" s="4"/>
      <c r="E141" s="3">
        <f t="shared" si="2"/>
        <v>0</v>
      </c>
      <c r="F141" s="3" t="s">
        <v>45</v>
      </c>
      <c r="G141" s="3" t="s">
        <v>23</v>
      </c>
      <c r="H141" s="3" t="s">
        <v>15</v>
      </c>
    </row>
    <row r="142" spans="1:8" ht="12.75">
      <c r="A142" s="2">
        <v>45384</v>
      </c>
      <c r="B142" s="3" t="s">
        <v>121</v>
      </c>
      <c r="C142" s="3" t="s">
        <v>122</v>
      </c>
      <c r="D142" s="4"/>
      <c r="E142" s="3">
        <f t="shared" si="2"/>
        <v>0</v>
      </c>
      <c r="F142" s="3" t="s">
        <v>42</v>
      </c>
      <c r="G142" s="3" t="s">
        <v>14</v>
      </c>
      <c r="H142" s="3" t="s">
        <v>15</v>
      </c>
    </row>
    <row r="143" spans="1:8" ht="12.75">
      <c r="A143" s="2">
        <v>45385</v>
      </c>
      <c r="B143" s="3" t="s">
        <v>11</v>
      </c>
      <c r="C143" s="3" t="s">
        <v>12</v>
      </c>
      <c r="D143" s="4"/>
      <c r="E143" s="3">
        <f t="shared" si="2"/>
        <v>0</v>
      </c>
      <c r="F143" s="3" t="s">
        <v>13</v>
      </c>
      <c r="G143" s="3" t="s">
        <v>14</v>
      </c>
      <c r="H143" s="3" t="s">
        <v>15</v>
      </c>
    </row>
    <row r="144" spans="1:8" ht="12.75">
      <c r="A144" s="2">
        <v>45386</v>
      </c>
      <c r="B144" s="3" t="s">
        <v>11</v>
      </c>
      <c r="C144" s="3" t="s">
        <v>12</v>
      </c>
      <c r="D144" s="4"/>
      <c r="E144" s="3">
        <f t="shared" si="2"/>
        <v>0</v>
      </c>
      <c r="F144" s="3" t="s">
        <v>13</v>
      </c>
      <c r="G144" s="3" t="s">
        <v>14</v>
      </c>
      <c r="H144" s="3" t="s">
        <v>15</v>
      </c>
    </row>
    <row r="145" spans="1:8" ht="12.75">
      <c r="A145" s="2">
        <v>45387</v>
      </c>
      <c r="B145" s="3" t="s">
        <v>7</v>
      </c>
      <c r="C145" s="4">
        <v>0</v>
      </c>
      <c r="D145" s="3" t="s">
        <v>8</v>
      </c>
      <c r="E145" s="3" t="str">
        <f t="shared" si="2"/>
        <v>₹120,000.00</v>
      </c>
      <c r="F145" s="3" t="s">
        <v>75</v>
      </c>
      <c r="G145" s="3" t="s">
        <v>9</v>
      </c>
      <c r="H145" s="3" t="s">
        <v>10</v>
      </c>
    </row>
    <row r="146" spans="1:8" ht="12.75">
      <c r="A146" s="2">
        <v>45387</v>
      </c>
      <c r="B146" s="3" t="s">
        <v>11</v>
      </c>
      <c r="C146" s="3" t="s">
        <v>12</v>
      </c>
      <c r="D146" s="4"/>
      <c r="E146" s="3">
        <f t="shared" si="2"/>
        <v>0</v>
      </c>
      <c r="F146" s="3" t="s">
        <v>13</v>
      </c>
      <c r="G146" s="3" t="s">
        <v>14</v>
      </c>
      <c r="H146" s="3" t="s">
        <v>15</v>
      </c>
    </row>
    <row r="147" spans="1:8" ht="12.75">
      <c r="A147" s="2">
        <v>45388</v>
      </c>
      <c r="B147" s="3" t="s">
        <v>16</v>
      </c>
      <c r="C147" s="3" t="s">
        <v>17</v>
      </c>
      <c r="D147" s="4"/>
      <c r="E147" s="3">
        <f t="shared" si="2"/>
        <v>0</v>
      </c>
      <c r="F147" s="3" t="s">
        <v>18</v>
      </c>
      <c r="G147" s="3" t="s">
        <v>19</v>
      </c>
      <c r="H147" s="3" t="s">
        <v>15</v>
      </c>
    </row>
    <row r="148" spans="1:8" ht="12.75">
      <c r="A148" s="2">
        <v>45388</v>
      </c>
      <c r="B148" s="3" t="s">
        <v>20</v>
      </c>
      <c r="C148" s="3" t="s">
        <v>21</v>
      </c>
      <c r="D148" s="4"/>
      <c r="E148" s="3">
        <f t="shared" si="2"/>
        <v>0</v>
      </c>
      <c r="F148" s="3" t="s">
        <v>22</v>
      </c>
      <c r="G148" s="3" t="s">
        <v>23</v>
      </c>
      <c r="H148" s="3" t="s">
        <v>15</v>
      </c>
    </row>
    <row r="149" spans="1:8" ht="12.75">
      <c r="A149" s="2">
        <v>45388</v>
      </c>
      <c r="B149" s="3" t="s">
        <v>11</v>
      </c>
      <c r="C149" s="3" t="s">
        <v>12</v>
      </c>
      <c r="D149" s="4"/>
      <c r="E149" s="3">
        <f t="shared" si="2"/>
        <v>0</v>
      </c>
      <c r="F149" s="3" t="s">
        <v>13</v>
      </c>
      <c r="G149" s="3" t="s">
        <v>14</v>
      </c>
      <c r="H149" s="3" t="s">
        <v>15</v>
      </c>
    </row>
    <row r="150" spans="1:8" ht="12.75">
      <c r="A150" s="2">
        <v>45389</v>
      </c>
      <c r="B150" s="3" t="s">
        <v>11</v>
      </c>
      <c r="C150" s="3" t="s">
        <v>12</v>
      </c>
      <c r="D150" s="4"/>
      <c r="E150" s="3">
        <f t="shared" si="2"/>
        <v>0</v>
      </c>
      <c r="F150" s="3" t="s">
        <v>13</v>
      </c>
      <c r="G150" s="3" t="s">
        <v>14</v>
      </c>
      <c r="H150" s="3" t="s">
        <v>15</v>
      </c>
    </row>
    <row r="151" spans="1:8" ht="12.75">
      <c r="A151" s="2">
        <v>45390</v>
      </c>
      <c r="B151" s="3" t="s">
        <v>11</v>
      </c>
      <c r="C151" s="3" t="s">
        <v>12</v>
      </c>
      <c r="D151" s="4"/>
      <c r="E151" s="3">
        <f t="shared" si="2"/>
        <v>0</v>
      </c>
      <c r="F151" s="3" t="s">
        <v>13</v>
      </c>
      <c r="G151" s="3" t="s">
        <v>14</v>
      </c>
      <c r="H151" s="3" t="s">
        <v>15</v>
      </c>
    </row>
    <row r="152" spans="1:8" ht="12.75">
      <c r="A152" s="2">
        <v>45391</v>
      </c>
      <c r="B152" s="3" t="s">
        <v>11</v>
      </c>
      <c r="C152" s="3" t="s">
        <v>12</v>
      </c>
      <c r="D152" s="4"/>
      <c r="E152" s="3">
        <f t="shared" si="2"/>
        <v>0</v>
      </c>
      <c r="F152" s="3" t="s">
        <v>13</v>
      </c>
      <c r="G152" s="3" t="s">
        <v>14</v>
      </c>
      <c r="H152" s="3" t="s">
        <v>15</v>
      </c>
    </row>
    <row r="153" spans="1:8" ht="12.75">
      <c r="A153" s="2">
        <v>45391</v>
      </c>
      <c r="B153" s="3" t="s">
        <v>24</v>
      </c>
      <c r="C153" s="3" t="s">
        <v>123</v>
      </c>
      <c r="D153" s="4"/>
      <c r="E153" s="3">
        <f t="shared" si="2"/>
        <v>0</v>
      </c>
      <c r="F153" s="3" t="s">
        <v>26</v>
      </c>
      <c r="G153" s="3" t="s">
        <v>19</v>
      </c>
      <c r="H153" s="3" t="s">
        <v>15</v>
      </c>
    </row>
    <row r="154" spans="1:8" ht="12.75">
      <c r="A154" s="2">
        <v>45394</v>
      </c>
      <c r="B154" s="3" t="s">
        <v>27</v>
      </c>
      <c r="C154" s="3" t="s">
        <v>124</v>
      </c>
      <c r="D154" s="4"/>
      <c r="E154" s="3">
        <f t="shared" si="2"/>
        <v>0</v>
      </c>
      <c r="F154" s="3" t="s">
        <v>29</v>
      </c>
      <c r="G154" s="3" t="s">
        <v>19</v>
      </c>
      <c r="H154" s="3" t="s">
        <v>15</v>
      </c>
    </row>
    <row r="155" spans="1:8" ht="12.75">
      <c r="A155" s="2">
        <v>45394</v>
      </c>
      <c r="B155" s="3" t="s">
        <v>11</v>
      </c>
      <c r="C155" s="3" t="s">
        <v>12</v>
      </c>
      <c r="D155" s="4"/>
      <c r="E155" s="3">
        <f t="shared" si="2"/>
        <v>0</v>
      </c>
      <c r="F155" s="3" t="s">
        <v>13</v>
      </c>
      <c r="G155" s="3" t="s">
        <v>14</v>
      </c>
      <c r="H155" s="3" t="s">
        <v>15</v>
      </c>
    </row>
    <row r="156" spans="1:8" ht="12.75">
      <c r="A156" s="2">
        <v>45395</v>
      </c>
      <c r="B156" s="3" t="s">
        <v>11</v>
      </c>
      <c r="C156" s="3" t="s">
        <v>12</v>
      </c>
      <c r="D156" s="4"/>
      <c r="E156" s="3">
        <f t="shared" si="2"/>
        <v>0</v>
      </c>
      <c r="F156" s="3" t="s">
        <v>13</v>
      </c>
      <c r="G156" s="3" t="s">
        <v>14</v>
      </c>
      <c r="H156" s="3" t="s">
        <v>15</v>
      </c>
    </row>
    <row r="157" spans="1:8" ht="12.75">
      <c r="A157" s="2">
        <v>45396</v>
      </c>
      <c r="B157" s="3" t="s">
        <v>30</v>
      </c>
      <c r="C157" s="3" t="s">
        <v>125</v>
      </c>
      <c r="D157" s="4"/>
      <c r="E157" s="3">
        <f t="shared" si="2"/>
        <v>0</v>
      </c>
      <c r="F157" s="3" t="s">
        <v>67</v>
      </c>
      <c r="G157" s="3" t="s">
        <v>23</v>
      </c>
      <c r="H157" s="3" t="s">
        <v>15</v>
      </c>
    </row>
    <row r="158" spans="1:8" ht="12.75">
      <c r="A158" s="2">
        <v>45396</v>
      </c>
      <c r="B158" s="3" t="s">
        <v>11</v>
      </c>
      <c r="C158" s="3" t="s">
        <v>12</v>
      </c>
      <c r="D158" s="4"/>
      <c r="E158" s="3">
        <f t="shared" si="2"/>
        <v>0</v>
      </c>
      <c r="F158" s="3" t="s">
        <v>13</v>
      </c>
      <c r="G158" s="3" t="s">
        <v>14</v>
      </c>
      <c r="H158" s="3" t="s">
        <v>15</v>
      </c>
    </row>
    <row r="159" spans="1:8" ht="12.75">
      <c r="A159" s="2">
        <v>45397</v>
      </c>
      <c r="B159" s="3" t="s">
        <v>11</v>
      </c>
      <c r="C159" s="3" t="s">
        <v>12</v>
      </c>
      <c r="D159" s="4"/>
      <c r="E159" s="3">
        <f t="shared" si="2"/>
        <v>0</v>
      </c>
      <c r="F159" s="3" t="s">
        <v>13</v>
      </c>
      <c r="G159" s="3" t="s">
        <v>14</v>
      </c>
      <c r="H159" s="3" t="s">
        <v>15</v>
      </c>
    </row>
    <row r="160" spans="1:8" ht="12.75">
      <c r="A160" s="2">
        <v>45398</v>
      </c>
      <c r="B160" s="3" t="s">
        <v>24</v>
      </c>
      <c r="C160" s="3" t="s">
        <v>38</v>
      </c>
      <c r="D160" s="4"/>
      <c r="E160" s="3">
        <f t="shared" si="2"/>
        <v>0</v>
      </c>
      <c r="F160" s="3" t="s">
        <v>26</v>
      </c>
      <c r="G160" s="3" t="s">
        <v>19</v>
      </c>
      <c r="H160" s="3" t="s">
        <v>15</v>
      </c>
    </row>
    <row r="161" spans="1:8" ht="12.75">
      <c r="A161" s="2">
        <v>45398</v>
      </c>
      <c r="B161" s="3" t="s">
        <v>11</v>
      </c>
      <c r="C161" s="3" t="s">
        <v>12</v>
      </c>
      <c r="D161" s="4"/>
      <c r="E161" s="3">
        <f t="shared" si="2"/>
        <v>0</v>
      </c>
      <c r="F161" s="3" t="s">
        <v>13</v>
      </c>
      <c r="G161" s="3" t="s">
        <v>14</v>
      </c>
      <c r="H161" s="3" t="s">
        <v>15</v>
      </c>
    </row>
    <row r="162" spans="1:8" ht="12.75">
      <c r="A162" s="2">
        <v>45399</v>
      </c>
      <c r="B162" s="3" t="s">
        <v>11</v>
      </c>
      <c r="C162" s="3" t="s">
        <v>12</v>
      </c>
      <c r="D162" s="4"/>
      <c r="E162" s="3">
        <f t="shared" si="2"/>
        <v>0</v>
      </c>
      <c r="F162" s="3" t="s">
        <v>13</v>
      </c>
      <c r="G162" s="3" t="s">
        <v>14</v>
      </c>
      <c r="H162" s="3" t="s">
        <v>15</v>
      </c>
    </row>
    <row r="163" spans="1:8" ht="12.75">
      <c r="A163" s="2">
        <v>45399</v>
      </c>
      <c r="B163" s="3" t="s">
        <v>33</v>
      </c>
      <c r="C163" s="3" t="s">
        <v>126</v>
      </c>
      <c r="D163" s="4"/>
      <c r="E163" s="3">
        <f t="shared" si="2"/>
        <v>0</v>
      </c>
      <c r="F163" s="3" t="s">
        <v>35</v>
      </c>
      <c r="G163" s="3" t="s">
        <v>36</v>
      </c>
      <c r="H163" s="3" t="s">
        <v>15</v>
      </c>
    </row>
    <row r="164" spans="1:8" ht="12.75">
      <c r="A164" s="2">
        <v>45399</v>
      </c>
      <c r="B164" s="3" t="s">
        <v>81</v>
      </c>
      <c r="C164" s="3" t="s">
        <v>127</v>
      </c>
      <c r="D164" s="4"/>
      <c r="E164" s="3">
        <f t="shared" si="2"/>
        <v>0</v>
      </c>
      <c r="F164" s="3" t="s">
        <v>39</v>
      </c>
      <c r="G164" s="3" t="s">
        <v>36</v>
      </c>
      <c r="H164" s="3" t="s">
        <v>15</v>
      </c>
    </row>
    <row r="165" spans="1:8" ht="12.75">
      <c r="A165" s="2">
        <v>45399</v>
      </c>
      <c r="B165" s="3" t="s">
        <v>40</v>
      </c>
      <c r="C165" s="3" t="s">
        <v>128</v>
      </c>
      <c r="D165" s="4"/>
      <c r="E165" s="3">
        <f t="shared" si="2"/>
        <v>0</v>
      </c>
      <c r="F165" s="3" t="s">
        <v>42</v>
      </c>
      <c r="G165" s="3" t="s">
        <v>14</v>
      </c>
      <c r="H165" s="3" t="s">
        <v>15</v>
      </c>
    </row>
    <row r="166" spans="1:8" ht="12.75">
      <c r="A166" s="2">
        <v>45400</v>
      </c>
      <c r="B166" s="3" t="s">
        <v>43</v>
      </c>
      <c r="C166" s="3" t="s">
        <v>129</v>
      </c>
      <c r="D166" s="4"/>
      <c r="E166" s="3">
        <f t="shared" si="2"/>
        <v>0</v>
      </c>
      <c r="F166" s="3" t="s">
        <v>45</v>
      </c>
      <c r="G166" s="3" t="s">
        <v>23</v>
      </c>
      <c r="H166" s="3" t="s">
        <v>15</v>
      </c>
    </row>
    <row r="167" spans="1:8" ht="12.75">
      <c r="A167" s="2">
        <v>45401</v>
      </c>
      <c r="B167" s="3" t="s">
        <v>46</v>
      </c>
      <c r="C167" s="4">
        <v>0</v>
      </c>
      <c r="D167" s="3" t="s">
        <v>130</v>
      </c>
      <c r="E167" s="3" t="str">
        <f t="shared" si="2"/>
        <v>₹56,160.00</v>
      </c>
      <c r="F167" s="3" t="s">
        <v>48</v>
      </c>
      <c r="G167" s="3" t="s">
        <v>49</v>
      </c>
      <c r="H167" s="3" t="s">
        <v>10</v>
      </c>
    </row>
    <row r="168" spans="1:8" ht="12.75">
      <c r="A168" s="2">
        <v>45401</v>
      </c>
      <c r="B168" s="3" t="s">
        <v>11</v>
      </c>
      <c r="C168" s="3" t="s">
        <v>12</v>
      </c>
      <c r="D168" s="4"/>
      <c r="E168" s="3">
        <f t="shared" si="2"/>
        <v>0</v>
      </c>
      <c r="F168" s="3" t="s">
        <v>13</v>
      </c>
      <c r="G168" s="3" t="s">
        <v>14</v>
      </c>
      <c r="H168" s="3" t="s">
        <v>15</v>
      </c>
    </row>
    <row r="169" spans="1:8" ht="12.75">
      <c r="A169" s="2">
        <v>45402</v>
      </c>
      <c r="B169" s="3" t="s">
        <v>11</v>
      </c>
      <c r="C169" s="3" t="s">
        <v>12</v>
      </c>
      <c r="D169" s="4"/>
      <c r="E169" s="3">
        <f t="shared" si="2"/>
        <v>0</v>
      </c>
      <c r="F169" s="3" t="s">
        <v>13</v>
      </c>
      <c r="G169" s="3" t="s">
        <v>14</v>
      </c>
      <c r="H169" s="3" t="s">
        <v>15</v>
      </c>
    </row>
    <row r="170" spans="1:8" ht="12.75">
      <c r="A170" s="2">
        <v>45402</v>
      </c>
      <c r="B170" s="3" t="s">
        <v>51</v>
      </c>
      <c r="C170" s="3" t="s">
        <v>34</v>
      </c>
      <c r="D170" s="4"/>
      <c r="E170" s="3">
        <f t="shared" si="2"/>
        <v>0</v>
      </c>
      <c r="F170" s="3" t="s">
        <v>51</v>
      </c>
      <c r="G170" s="3" t="s">
        <v>19</v>
      </c>
      <c r="H170" s="3" t="s">
        <v>15</v>
      </c>
    </row>
    <row r="171" spans="1:8" ht="12.75">
      <c r="A171" s="2">
        <v>45403</v>
      </c>
      <c r="B171" s="3" t="s">
        <v>52</v>
      </c>
      <c r="C171" s="3" t="s">
        <v>131</v>
      </c>
      <c r="D171" s="4"/>
      <c r="E171" s="3">
        <f t="shared" si="2"/>
        <v>0</v>
      </c>
      <c r="F171" s="3" t="s">
        <v>54</v>
      </c>
      <c r="G171" s="3" t="s">
        <v>36</v>
      </c>
      <c r="H171" s="3" t="s">
        <v>15</v>
      </c>
    </row>
    <row r="172" spans="1:8" ht="12.75">
      <c r="A172" s="2">
        <v>45403</v>
      </c>
      <c r="B172" s="3" t="s">
        <v>55</v>
      </c>
      <c r="C172" s="3" t="s">
        <v>87</v>
      </c>
      <c r="D172" s="4"/>
      <c r="E172" s="3">
        <f t="shared" si="2"/>
        <v>0</v>
      </c>
      <c r="F172" s="3" t="s">
        <v>35</v>
      </c>
      <c r="G172" s="3" t="s">
        <v>36</v>
      </c>
      <c r="H172" s="3" t="s">
        <v>15</v>
      </c>
    </row>
    <row r="173" spans="1:8" ht="12.75">
      <c r="A173" s="2">
        <v>45403</v>
      </c>
      <c r="B173" s="3" t="s">
        <v>11</v>
      </c>
      <c r="C173" s="3" t="s">
        <v>12</v>
      </c>
      <c r="D173" s="4"/>
      <c r="E173" s="3">
        <f t="shared" si="2"/>
        <v>0</v>
      </c>
      <c r="F173" s="3" t="s">
        <v>13</v>
      </c>
      <c r="G173" s="3" t="s">
        <v>14</v>
      </c>
      <c r="H173" s="3" t="s">
        <v>15</v>
      </c>
    </row>
    <row r="174" spans="1:8" ht="12.75">
      <c r="A174" s="2">
        <v>45404</v>
      </c>
      <c r="B174" s="3" t="s">
        <v>11</v>
      </c>
      <c r="C174" s="3" t="s">
        <v>12</v>
      </c>
      <c r="D174" s="4"/>
      <c r="E174" s="3">
        <f t="shared" si="2"/>
        <v>0</v>
      </c>
      <c r="F174" s="3" t="s">
        <v>13</v>
      </c>
      <c r="G174" s="3" t="s">
        <v>14</v>
      </c>
      <c r="H174" s="3" t="s">
        <v>15</v>
      </c>
    </row>
    <row r="175" spans="1:8" ht="12.75">
      <c r="A175" s="2">
        <v>45405</v>
      </c>
      <c r="B175" s="3" t="s">
        <v>11</v>
      </c>
      <c r="C175" s="3" t="s">
        <v>12</v>
      </c>
      <c r="D175" s="4"/>
      <c r="E175" s="3">
        <f t="shared" si="2"/>
        <v>0</v>
      </c>
      <c r="F175" s="3" t="s">
        <v>13</v>
      </c>
      <c r="G175" s="3" t="s">
        <v>14</v>
      </c>
      <c r="H175" s="3" t="s">
        <v>15</v>
      </c>
    </row>
    <row r="176" spans="1:8" ht="12.75">
      <c r="A176" s="2">
        <v>45405</v>
      </c>
      <c r="B176" s="3" t="s">
        <v>24</v>
      </c>
      <c r="C176" s="3" t="s">
        <v>132</v>
      </c>
      <c r="D176" s="4"/>
      <c r="E176" s="3">
        <f t="shared" si="2"/>
        <v>0</v>
      </c>
      <c r="F176" s="3" t="s">
        <v>26</v>
      </c>
      <c r="G176" s="3" t="s">
        <v>19</v>
      </c>
      <c r="H176" s="3" t="s">
        <v>15</v>
      </c>
    </row>
    <row r="177" spans="1:8" ht="12.75">
      <c r="A177" s="2">
        <v>45406</v>
      </c>
      <c r="B177" s="3" t="s">
        <v>58</v>
      </c>
      <c r="C177" s="3" t="s">
        <v>133</v>
      </c>
      <c r="D177" s="4"/>
      <c r="E177" s="3">
        <f t="shared" si="2"/>
        <v>0</v>
      </c>
      <c r="F177" s="3" t="s">
        <v>42</v>
      </c>
      <c r="G177" s="3" t="s">
        <v>14</v>
      </c>
      <c r="H177" s="3" t="s">
        <v>15</v>
      </c>
    </row>
    <row r="178" spans="1:8" ht="12.75">
      <c r="A178" s="2">
        <v>45407</v>
      </c>
      <c r="B178" s="3" t="s">
        <v>60</v>
      </c>
      <c r="C178" s="3" t="s">
        <v>134</v>
      </c>
      <c r="D178" s="4"/>
      <c r="E178" s="3">
        <f t="shared" si="2"/>
        <v>0</v>
      </c>
      <c r="F178" s="3" t="s">
        <v>42</v>
      </c>
      <c r="G178" s="3" t="s">
        <v>14</v>
      </c>
      <c r="H178" s="3" t="s">
        <v>15</v>
      </c>
    </row>
    <row r="179" spans="1:8" ht="12.75">
      <c r="A179" s="2">
        <v>45408</v>
      </c>
      <c r="B179" s="3" t="s">
        <v>62</v>
      </c>
      <c r="C179" s="3" t="s">
        <v>63</v>
      </c>
      <c r="D179" s="4"/>
      <c r="E179" s="3">
        <f t="shared" si="2"/>
        <v>0</v>
      </c>
      <c r="F179" s="3" t="s">
        <v>64</v>
      </c>
      <c r="G179" s="3" t="s">
        <v>65</v>
      </c>
      <c r="H179" s="3" t="s">
        <v>15</v>
      </c>
    </row>
    <row r="180" spans="1:8" ht="12.75">
      <c r="A180" s="2">
        <v>45408</v>
      </c>
      <c r="B180" s="3" t="s">
        <v>30</v>
      </c>
      <c r="C180" s="3" t="s">
        <v>135</v>
      </c>
      <c r="D180" s="4"/>
      <c r="E180" s="3">
        <f t="shared" si="2"/>
        <v>0</v>
      </c>
      <c r="F180" s="3" t="s">
        <v>67</v>
      </c>
      <c r="G180" s="3" t="s">
        <v>23</v>
      </c>
      <c r="H180" s="3" t="s">
        <v>15</v>
      </c>
    </row>
    <row r="181" spans="1:8" ht="12.75">
      <c r="A181" s="2">
        <v>45408</v>
      </c>
      <c r="B181" s="3" t="s">
        <v>11</v>
      </c>
      <c r="C181" s="3" t="s">
        <v>12</v>
      </c>
      <c r="D181" s="4"/>
      <c r="E181" s="3">
        <f t="shared" si="2"/>
        <v>0</v>
      </c>
      <c r="F181" s="3" t="s">
        <v>13</v>
      </c>
      <c r="G181" s="3" t="s">
        <v>14</v>
      </c>
      <c r="H181" s="3" t="s">
        <v>15</v>
      </c>
    </row>
    <row r="182" spans="1:8" ht="12.75">
      <c r="A182" s="2">
        <v>45409</v>
      </c>
      <c r="B182" s="3" t="s">
        <v>11</v>
      </c>
      <c r="C182" s="3" t="s">
        <v>12</v>
      </c>
      <c r="D182" s="4"/>
      <c r="E182" s="3">
        <f t="shared" si="2"/>
        <v>0</v>
      </c>
      <c r="F182" s="3" t="s">
        <v>13</v>
      </c>
      <c r="G182" s="3" t="s">
        <v>14</v>
      </c>
      <c r="H182" s="3" t="s">
        <v>15</v>
      </c>
    </row>
    <row r="183" spans="1:8" ht="12.75">
      <c r="A183" s="2">
        <v>45410</v>
      </c>
      <c r="B183" s="3" t="s">
        <v>11</v>
      </c>
      <c r="C183" s="3" t="s">
        <v>12</v>
      </c>
      <c r="D183" s="4"/>
      <c r="E183" s="3">
        <f t="shared" si="2"/>
        <v>0</v>
      </c>
      <c r="F183" s="3" t="s">
        <v>13</v>
      </c>
      <c r="G183" s="3" t="s">
        <v>14</v>
      </c>
      <c r="H183" s="3" t="s">
        <v>15</v>
      </c>
    </row>
    <row r="184" spans="1:8" ht="12.75">
      <c r="A184" s="2">
        <v>45411</v>
      </c>
      <c r="B184" s="3" t="s">
        <v>11</v>
      </c>
      <c r="C184" s="3" t="s">
        <v>12</v>
      </c>
      <c r="D184" s="4"/>
      <c r="E184" s="3">
        <f t="shared" si="2"/>
        <v>0</v>
      </c>
      <c r="F184" s="3" t="s">
        <v>13</v>
      </c>
      <c r="G184" s="3" t="s">
        <v>14</v>
      </c>
      <c r="H184" s="3" t="s">
        <v>15</v>
      </c>
    </row>
    <row r="185" spans="1:8" ht="12.75">
      <c r="A185" s="2">
        <v>45412</v>
      </c>
      <c r="B185" s="3" t="s">
        <v>11</v>
      </c>
      <c r="C185" s="3" t="s">
        <v>12</v>
      </c>
      <c r="D185" s="4"/>
      <c r="E185" s="3">
        <f t="shared" si="2"/>
        <v>0</v>
      </c>
      <c r="F185" s="3" t="s">
        <v>13</v>
      </c>
      <c r="G185" s="3" t="s">
        <v>14</v>
      </c>
      <c r="H185" s="3" t="s">
        <v>15</v>
      </c>
    </row>
    <row r="186" spans="1:8" ht="12.75">
      <c r="A186" s="2">
        <v>45412</v>
      </c>
      <c r="B186" s="3" t="s">
        <v>24</v>
      </c>
      <c r="C186" s="3" t="s">
        <v>136</v>
      </c>
      <c r="D186" s="4"/>
      <c r="E186" s="3">
        <f t="shared" si="2"/>
        <v>0</v>
      </c>
      <c r="F186" s="3" t="s">
        <v>26</v>
      </c>
      <c r="G186" s="3" t="s">
        <v>19</v>
      </c>
      <c r="H186" s="3" t="s">
        <v>15</v>
      </c>
    </row>
    <row r="187" spans="1:8" ht="12.75">
      <c r="A187" s="2">
        <v>45413</v>
      </c>
      <c r="B187" s="3" t="s">
        <v>69</v>
      </c>
      <c r="C187" s="3" t="s">
        <v>137</v>
      </c>
      <c r="D187" s="4"/>
      <c r="E187" s="3">
        <f t="shared" si="2"/>
        <v>0</v>
      </c>
      <c r="F187" s="3" t="s">
        <v>39</v>
      </c>
      <c r="G187" s="3" t="s">
        <v>36</v>
      </c>
      <c r="H187" s="3" t="s">
        <v>15</v>
      </c>
    </row>
    <row r="188" spans="1:8" ht="12.75">
      <c r="A188" s="2">
        <v>45413</v>
      </c>
      <c r="B188" s="3" t="s">
        <v>138</v>
      </c>
      <c r="C188" s="3" t="s">
        <v>139</v>
      </c>
      <c r="D188" s="4"/>
      <c r="E188" s="3">
        <f t="shared" si="2"/>
        <v>0</v>
      </c>
      <c r="F188" s="3" t="s">
        <v>35</v>
      </c>
      <c r="G188" s="3" t="s">
        <v>36</v>
      </c>
      <c r="H188" s="3" t="s">
        <v>15</v>
      </c>
    </row>
    <row r="189" spans="1:8" ht="12.75">
      <c r="A189" s="2">
        <v>45414</v>
      </c>
      <c r="B189" s="3" t="s">
        <v>37</v>
      </c>
      <c r="C189" s="3" t="s">
        <v>140</v>
      </c>
      <c r="D189" s="4"/>
      <c r="E189" s="3">
        <f t="shared" si="2"/>
        <v>0</v>
      </c>
      <c r="F189" s="3" t="s">
        <v>39</v>
      </c>
      <c r="G189" s="3" t="s">
        <v>36</v>
      </c>
      <c r="H189" s="3" t="s">
        <v>15</v>
      </c>
    </row>
    <row r="190" spans="1:8" ht="12.75">
      <c r="A190" s="2">
        <v>45414</v>
      </c>
      <c r="B190" s="3" t="s">
        <v>43</v>
      </c>
      <c r="C190" s="3" t="s">
        <v>141</v>
      </c>
      <c r="D190" s="4"/>
      <c r="E190" s="3">
        <f t="shared" si="2"/>
        <v>0</v>
      </c>
      <c r="F190" s="3" t="s">
        <v>45</v>
      </c>
      <c r="G190" s="3" t="s">
        <v>23</v>
      </c>
      <c r="H190" s="3" t="s">
        <v>15</v>
      </c>
    </row>
    <row r="191" spans="1:8" ht="12.75">
      <c r="A191" s="2">
        <v>45415</v>
      </c>
      <c r="B191" s="3" t="s">
        <v>121</v>
      </c>
      <c r="C191" s="3" t="s">
        <v>122</v>
      </c>
      <c r="D191" s="4"/>
      <c r="E191" s="3">
        <f t="shared" si="2"/>
        <v>0</v>
      </c>
      <c r="F191" s="3" t="s">
        <v>42</v>
      </c>
      <c r="G191" s="3" t="s">
        <v>14</v>
      </c>
      <c r="H191" s="3" t="s">
        <v>15</v>
      </c>
    </row>
    <row r="192" spans="1:8" ht="12.75">
      <c r="A192" s="2">
        <v>45415</v>
      </c>
      <c r="B192" s="3" t="s">
        <v>11</v>
      </c>
      <c r="C192" s="3" t="s">
        <v>12</v>
      </c>
      <c r="D192" s="4"/>
      <c r="E192" s="3">
        <f t="shared" si="2"/>
        <v>0</v>
      </c>
      <c r="F192" s="3" t="s">
        <v>13</v>
      </c>
      <c r="G192" s="3" t="s">
        <v>14</v>
      </c>
      <c r="H192" s="3" t="s">
        <v>15</v>
      </c>
    </row>
    <row r="193" spans="1:8" ht="12.75">
      <c r="A193" s="2">
        <v>45416</v>
      </c>
      <c r="B193" s="3" t="s">
        <v>11</v>
      </c>
      <c r="C193" s="3" t="s">
        <v>12</v>
      </c>
      <c r="D193" s="4"/>
      <c r="E193" s="3">
        <f t="shared" si="2"/>
        <v>0</v>
      </c>
      <c r="F193" s="3" t="s">
        <v>13</v>
      </c>
      <c r="G193" s="3" t="s">
        <v>14</v>
      </c>
      <c r="H193" s="3" t="s">
        <v>15</v>
      </c>
    </row>
    <row r="194" spans="1:8" ht="12.75">
      <c r="A194" s="2">
        <v>45418</v>
      </c>
      <c r="B194" s="3" t="s">
        <v>11</v>
      </c>
      <c r="C194" s="3" t="s">
        <v>12</v>
      </c>
      <c r="D194" s="4"/>
      <c r="E194" s="3">
        <f t="shared" si="2"/>
        <v>0</v>
      </c>
      <c r="F194" s="3" t="s">
        <v>13</v>
      </c>
      <c r="G194" s="3" t="s">
        <v>14</v>
      </c>
      <c r="H194" s="3" t="s">
        <v>15</v>
      </c>
    </row>
    <row r="195" spans="1:8" ht="12.75">
      <c r="A195" s="2">
        <v>45419</v>
      </c>
      <c r="B195" s="3" t="s">
        <v>7</v>
      </c>
      <c r="C195" s="4">
        <v>0</v>
      </c>
      <c r="D195" s="3" t="s">
        <v>8</v>
      </c>
      <c r="E195" s="3" t="str">
        <f t="shared" ref="E195:E258" si="3">IF(D195="",0,D195)</f>
        <v>₹120,000.00</v>
      </c>
      <c r="F195" s="3" t="s">
        <v>75</v>
      </c>
      <c r="G195" s="3" t="s">
        <v>9</v>
      </c>
      <c r="H195" s="3" t="s">
        <v>10</v>
      </c>
    </row>
    <row r="196" spans="1:8" ht="12.75">
      <c r="A196" s="2">
        <v>45419</v>
      </c>
      <c r="B196" s="3" t="s">
        <v>16</v>
      </c>
      <c r="C196" s="3" t="s">
        <v>17</v>
      </c>
      <c r="D196" s="4"/>
      <c r="E196" s="3">
        <f t="shared" si="3"/>
        <v>0</v>
      </c>
      <c r="F196" s="3" t="s">
        <v>18</v>
      </c>
      <c r="G196" s="3" t="s">
        <v>19</v>
      </c>
      <c r="H196" s="3" t="s">
        <v>15</v>
      </c>
    </row>
    <row r="197" spans="1:8" ht="12.75">
      <c r="A197" s="2">
        <v>45419</v>
      </c>
      <c r="B197" s="3" t="s">
        <v>20</v>
      </c>
      <c r="C197" s="3" t="s">
        <v>21</v>
      </c>
      <c r="D197" s="4"/>
      <c r="E197" s="3">
        <f t="shared" si="3"/>
        <v>0</v>
      </c>
      <c r="F197" s="3" t="s">
        <v>22</v>
      </c>
      <c r="G197" s="3" t="s">
        <v>23</v>
      </c>
      <c r="H197" s="3" t="s">
        <v>15</v>
      </c>
    </row>
    <row r="198" spans="1:8" ht="12.75">
      <c r="A198" s="2">
        <v>45419</v>
      </c>
      <c r="B198" s="3" t="s">
        <v>11</v>
      </c>
      <c r="C198" s="3" t="s">
        <v>12</v>
      </c>
      <c r="D198" s="4"/>
      <c r="E198" s="3">
        <f t="shared" si="3"/>
        <v>0</v>
      </c>
      <c r="F198" s="3" t="s">
        <v>13</v>
      </c>
      <c r="G198" s="3" t="s">
        <v>14</v>
      </c>
      <c r="H198" s="3" t="s">
        <v>15</v>
      </c>
    </row>
    <row r="199" spans="1:8" ht="12.75">
      <c r="A199" s="2">
        <v>45420</v>
      </c>
      <c r="B199" s="3" t="s">
        <v>11</v>
      </c>
      <c r="C199" s="3" t="s">
        <v>12</v>
      </c>
      <c r="D199" s="4"/>
      <c r="E199" s="3">
        <f t="shared" si="3"/>
        <v>0</v>
      </c>
      <c r="F199" s="3" t="s">
        <v>13</v>
      </c>
      <c r="G199" s="3" t="s">
        <v>14</v>
      </c>
      <c r="H199" s="3" t="s">
        <v>15</v>
      </c>
    </row>
    <row r="200" spans="1:8" ht="12.75">
      <c r="A200" s="2">
        <v>45421</v>
      </c>
      <c r="B200" s="3" t="s">
        <v>11</v>
      </c>
      <c r="C200" s="3" t="s">
        <v>12</v>
      </c>
      <c r="D200" s="4"/>
      <c r="E200" s="3">
        <f t="shared" si="3"/>
        <v>0</v>
      </c>
      <c r="F200" s="3" t="s">
        <v>13</v>
      </c>
      <c r="G200" s="3" t="s">
        <v>14</v>
      </c>
      <c r="H200" s="3" t="s">
        <v>15</v>
      </c>
    </row>
    <row r="201" spans="1:8" ht="12.75">
      <c r="A201" s="2">
        <v>45422</v>
      </c>
      <c r="B201" s="3" t="s">
        <v>11</v>
      </c>
      <c r="C201" s="3" t="s">
        <v>12</v>
      </c>
      <c r="D201" s="4"/>
      <c r="E201" s="3">
        <f t="shared" si="3"/>
        <v>0</v>
      </c>
      <c r="F201" s="3" t="s">
        <v>13</v>
      </c>
      <c r="G201" s="3" t="s">
        <v>14</v>
      </c>
      <c r="H201" s="3" t="s">
        <v>15</v>
      </c>
    </row>
    <row r="202" spans="1:8" ht="12.75">
      <c r="A202" s="2">
        <v>45422</v>
      </c>
      <c r="B202" s="3" t="s">
        <v>24</v>
      </c>
      <c r="C202" s="3" t="s">
        <v>57</v>
      </c>
      <c r="D202" s="4"/>
      <c r="E202" s="3">
        <f t="shared" si="3"/>
        <v>0</v>
      </c>
      <c r="F202" s="3" t="s">
        <v>26</v>
      </c>
      <c r="G202" s="3" t="s">
        <v>19</v>
      </c>
      <c r="H202" s="3" t="s">
        <v>15</v>
      </c>
    </row>
    <row r="203" spans="1:8" ht="12.75">
      <c r="A203" s="2">
        <v>45425</v>
      </c>
      <c r="B203" s="3" t="s">
        <v>27</v>
      </c>
      <c r="C203" s="3" t="s">
        <v>142</v>
      </c>
      <c r="D203" s="4"/>
      <c r="E203" s="3">
        <f t="shared" si="3"/>
        <v>0</v>
      </c>
      <c r="F203" s="3" t="s">
        <v>29</v>
      </c>
      <c r="G203" s="3" t="s">
        <v>19</v>
      </c>
      <c r="H203" s="3" t="s">
        <v>15</v>
      </c>
    </row>
    <row r="204" spans="1:8" ht="12.75">
      <c r="A204" s="2">
        <v>45425</v>
      </c>
      <c r="B204" s="3" t="s">
        <v>11</v>
      </c>
      <c r="C204" s="3" t="s">
        <v>12</v>
      </c>
      <c r="D204" s="4"/>
      <c r="E204" s="3">
        <f t="shared" si="3"/>
        <v>0</v>
      </c>
      <c r="F204" s="3" t="s">
        <v>13</v>
      </c>
      <c r="G204" s="3" t="s">
        <v>14</v>
      </c>
      <c r="H204" s="3" t="s">
        <v>15</v>
      </c>
    </row>
    <row r="205" spans="1:8" ht="12.75">
      <c r="A205" s="2">
        <v>45426</v>
      </c>
      <c r="B205" s="3" t="s">
        <v>11</v>
      </c>
      <c r="C205" s="3" t="s">
        <v>12</v>
      </c>
      <c r="D205" s="4"/>
      <c r="E205" s="3">
        <f t="shared" si="3"/>
        <v>0</v>
      </c>
      <c r="F205" s="3" t="s">
        <v>13</v>
      </c>
      <c r="G205" s="3" t="s">
        <v>14</v>
      </c>
      <c r="H205" s="3" t="s">
        <v>15</v>
      </c>
    </row>
    <row r="206" spans="1:8" ht="12.75">
      <c r="A206" s="2">
        <v>45427</v>
      </c>
      <c r="B206" s="3" t="s">
        <v>30</v>
      </c>
      <c r="C206" s="3" t="s">
        <v>143</v>
      </c>
      <c r="D206" s="4"/>
      <c r="E206" s="3">
        <f t="shared" si="3"/>
        <v>0</v>
      </c>
      <c r="F206" s="3" t="s">
        <v>67</v>
      </c>
      <c r="G206" s="3" t="s">
        <v>23</v>
      </c>
      <c r="H206" s="3" t="s">
        <v>15</v>
      </c>
    </row>
    <row r="207" spans="1:8" ht="12.75">
      <c r="A207" s="2">
        <v>45427</v>
      </c>
      <c r="B207" s="3" t="s">
        <v>11</v>
      </c>
      <c r="C207" s="3" t="s">
        <v>12</v>
      </c>
      <c r="D207" s="4"/>
      <c r="E207" s="3">
        <f t="shared" si="3"/>
        <v>0</v>
      </c>
      <c r="F207" s="3" t="s">
        <v>13</v>
      </c>
      <c r="G207" s="3" t="s">
        <v>14</v>
      </c>
      <c r="H207" s="3" t="s">
        <v>15</v>
      </c>
    </row>
    <row r="208" spans="1:8" ht="12.75">
      <c r="A208" s="2">
        <v>45428</v>
      </c>
      <c r="B208" s="3" t="s">
        <v>11</v>
      </c>
      <c r="C208" s="3" t="s">
        <v>12</v>
      </c>
      <c r="D208" s="4"/>
      <c r="E208" s="3">
        <f t="shared" si="3"/>
        <v>0</v>
      </c>
      <c r="F208" s="3" t="s">
        <v>13</v>
      </c>
      <c r="G208" s="3" t="s">
        <v>14</v>
      </c>
      <c r="H208" s="3" t="s">
        <v>15</v>
      </c>
    </row>
    <row r="209" spans="1:8" ht="12.75">
      <c r="A209" s="2">
        <v>45429</v>
      </c>
      <c r="B209" s="3" t="s">
        <v>24</v>
      </c>
      <c r="C209" s="3" t="s">
        <v>144</v>
      </c>
      <c r="D209" s="4"/>
      <c r="E209" s="3">
        <f t="shared" si="3"/>
        <v>0</v>
      </c>
      <c r="F209" s="3" t="s">
        <v>26</v>
      </c>
      <c r="G209" s="3" t="s">
        <v>19</v>
      </c>
      <c r="H209" s="3" t="s">
        <v>15</v>
      </c>
    </row>
    <row r="210" spans="1:8" ht="12.75">
      <c r="A210" s="2">
        <v>45429</v>
      </c>
      <c r="B210" s="3" t="s">
        <v>11</v>
      </c>
      <c r="C210" s="3" t="s">
        <v>12</v>
      </c>
      <c r="D210" s="4"/>
      <c r="E210" s="3">
        <f t="shared" si="3"/>
        <v>0</v>
      </c>
      <c r="F210" s="3" t="s">
        <v>13</v>
      </c>
      <c r="G210" s="3" t="s">
        <v>14</v>
      </c>
      <c r="H210" s="3" t="s">
        <v>15</v>
      </c>
    </row>
    <row r="211" spans="1:8" ht="12.75">
      <c r="A211" s="2">
        <v>45430</v>
      </c>
      <c r="B211" s="3" t="s">
        <v>11</v>
      </c>
      <c r="C211" s="3" t="s">
        <v>12</v>
      </c>
      <c r="D211" s="4"/>
      <c r="E211" s="3">
        <f t="shared" si="3"/>
        <v>0</v>
      </c>
      <c r="F211" s="3" t="s">
        <v>13</v>
      </c>
      <c r="G211" s="3" t="s">
        <v>14</v>
      </c>
      <c r="H211" s="3" t="s">
        <v>15</v>
      </c>
    </row>
    <row r="212" spans="1:8" ht="12.75">
      <c r="A212" s="2">
        <v>45430</v>
      </c>
      <c r="B212" s="3" t="s">
        <v>33</v>
      </c>
      <c r="C212" s="3" t="s">
        <v>145</v>
      </c>
      <c r="D212" s="4"/>
      <c r="E212" s="3">
        <f t="shared" si="3"/>
        <v>0</v>
      </c>
      <c r="F212" s="3" t="s">
        <v>35</v>
      </c>
      <c r="G212" s="3" t="s">
        <v>36</v>
      </c>
      <c r="H212" s="3" t="s">
        <v>15</v>
      </c>
    </row>
    <row r="213" spans="1:8" ht="12.75">
      <c r="A213" s="2">
        <v>45430</v>
      </c>
      <c r="B213" s="3" t="s">
        <v>81</v>
      </c>
      <c r="C213" s="3" t="s">
        <v>146</v>
      </c>
      <c r="D213" s="4"/>
      <c r="E213" s="3">
        <f t="shared" si="3"/>
        <v>0</v>
      </c>
      <c r="F213" s="3" t="s">
        <v>39</v>
      </c>
      <c r="G213" s="3" t="s">
        <v>36</v>
      </c>
      <c r="H213" s="3" t="s">
        <v>15</v>
      </c>
    </row>
    <row r="214" spans="1:8" ht="12.75">
      <c r="A214" s="2">
        <v>45430</v>
      </c>
      <c r="B214" s="3" t="s">
        <v>40</v>
      </c>
      <c r="C214" s="3" t="s">
        <v>147</v>
      </c>
      <c r="D214" s="4"/>
      <c r="E214" s="3">
        <f t="shared" si="3"/>
        <v>0</v>
      </c>
      <c r="F214" s="3" t="s">
        <v>42</v>
      </c>
      <c r="G214" s="3" t="s">
        <v>14</v>
      </c>
      <c r="H214" s="3" t="s">
        <v>15</v>
      </c>
    </row>
    <row r="215" spans="1:8" ht="12.75">
      <c r="A215" s="2">
        <v>45431</v>
      </c>
      <c r="B215" s="3" t="s">
        <v>43</v>
      </c>
      <c r="C215" s="3" t="s">
        <v>56</v>
      </c>
      <c r="D215" s="4"/>
      <c r="E215" s="3">
        <f t="shared" si="3"/>
        <v>0</v>
      </c>
      <c r="F215" s="3" t="s">
        <v>45</v>
      </c>
      <c r="G215" s="3" t="s">
        <v>23</v>
      </c>
      <c r="H215" s="3" t="s">
        <v>15</v>
      </c>
    </row>
    <row r="216" spans="1:8" ht="12.75">
      <c r="A216" s="2">
        <v>45432</v>
      </c>
      <c r="B216" s="3" t="s">
        <v>46</v>
      </c>
      <c r="C216" s="4">
        <v>0</v>
      </c>
      <c r="D216" s="3" t="s">
        <v>105</v>
      </c>
      <c r="E216" s="3" t="str">
        <f t="shared" si="3"/>
        <v>₹24,000.00</v>
      </c>
      <c r="F216" s="3" t="s">
        <v>48</v>
      </c>
      <c r="G216" s="3" t="s">
        <v>49</v>
      </c>
      <c r="H216" s="3" t="s">
        <v>10</v>
      </c>
    </row>
    <row r="217" spans="1:8" ht="12.75">
      <c r="A217" s="2">
        <v>45432</v>
      </c>
      <c r="B217" s="3" t="s">
        <v>11</v>
      </c>
      <c r="C217" s="3" t="s">
        <v>12</v>
      </c>
      <c r="D217" s="4"/>
      <c r="E217" s="3">
        <f t="shared" si="3"/>
        <v>0</v>
      </c>
      <c r="F217" s="3" t="s">
        <v>13</v>
      </c>
      <c r="G217" s="3" t="s">
        <v>14</v>
      </c>
      <c r="H217" s="3" t="s">
        <v>15</v>
      </c>
    </row>
    <row r="218" spans="1:8" ht="12.75">
      <c r="A218" s="2">
        <v>45433</v>
      </c>
      <c r="B218" s="3" t="s">
        <v>11</v>
      </c>
      <c r="C218" s="3" t="s">
        <v>12</v>
      </c>
      <c r="D218" s="4"/>
      <c r="E218" s="3">
        <f t="shared" si="3"/>
        <v>0</v>
      </c>
      <c r="F218" s="3" t="s">
        <v>13</v>
      </c>
      <c r="G218" s="3" t="s">
        <v>14</v>
      </c>
      <c r="H218" s="3" t="s">
        <v>15</v>
      </c>
    </row>
    <row r="219" spans="1:8" ht="12.75">
      <c r="A219" s="2">
        <v>45433</v>
      </c>
      <c r="B219" s="3" t="s">
        <v>106</v>
      </c>
      <c r="C219" s="3" t="s">
        <v>107</v>
      </c>
      <c r="D219" s="4"/>
      <c r="E219" s="3">
        <f t="shared" si="3"/>
        <v>0</v>
      </c>
      <c r="F219" s="3" t="s">
        <v>108</v>
      </c>
      <c r="G219" s="3" t="s">
        <v>109</v>
      </c>
      <c r="H219" s="3" t="s">
        <v>15</v>
      </c>
    </row>
    <row r="220" spans="1:8" ht="12.75">
      <c r="A220" s="2">
        <v>45433</v>
      </c>
      <c r="B220" s="3" t="s">
        <v>51</v>
      </c>
      <c r="C220" s="3" t="s">
        <v>34</v>
      </c>
      <c r="D220" s="4"/>
      <c r="E220" s="3">
        <f t="shared" si="3"/>
        <v>0</v>
      </c>
      <c r="F220" s="3" t="s">
        <v>51</v>
      </c>
      <c r="G220" s="3" t="s">
        <v>19</v>
      </c>
      <c r="H220" s="3" t="s">
        <v>15</v>
      </c>
    </row>
    <row r="221" spans="1:8" ht="12.75">
      <c r="A221" s="2">
        <v>45434</v>
      </c>
      <c r="B221" s="3" t="s">
        <v>52</v>
      </c>
      <c r="C221" s="3" t="s">
        <v>148</v>
      </c>
      <c r="D221" s="4"/>
      <c r="E221" s="3">
        <f t="shared" si="3"/>
        <v>0</v>
      </c>
      <c r="F221" s="3" t="s">
        <v>54</v>
      </c>
      <c r="G221" s="3" t="s">
        <v>36</v>
      </c>
      <c r="H221" s="3" t="s">
        <v>15</v>
      </c>
    </row>
    <row r="222" spans="1:8" ht="12.75">
      <c r="A222" s="2">
        <v>45434</v>
      </c>
      <c r="B222" s="3" t="s">
        <v>55</v>
      </c>
      <c r="C222" s="3" t="s">
        <v>87</v>
      </c>
      <c r="D222" s="4"/>
      <c r="E222" s="3">
        <f t="shared" si="3"/>
        <v>0</v>
      </c>
      <c r="F222" s="3" t="s">
        <v>35</v>
      </c>
      <c r="G222" s="3" t="s">
        <v>36</v>
      </c>
      <c r="H222" s="3" t="s">
        <v>15</v>
      </c>
    </row>
    <row r="223" spans="1:8" ht="12.75">
      <c r="A223" s="2">
        <v>45434</v>
      </c>
      <c r="B223" s="3" t="s">
        <v>11</v>
      </c>
      <c r="C223" s="3" t="s">
        <v>12</v>
      </c>
      <c r="D223" s="4"/>
      <c r="E223" s="3">
        <f t="shared" si="3"/>
        <v>0</v>
      </c>
      <c r="F223" s="3" t="s">
        <v>13</v>
      </c>
      <c r="G223" s="3" t="s">
        <v>14</v>
      </c>
      <c r="H223" s="3" t="s">
        <v>15</v>
      </c>
    </row>
    <row r="224" spans="1:8" ht="12.75">
      <c r="A224" s="2">
        <v>45435</v>
      </c>
      <c r="B224" s="3" t="s">
        <v>11</v>
      </c>
      <c r="C224" s="3" t="s">
        <v>12</v>
      </c>
      <c r="D224" s="4"/>
      <c r="E224" s="3">
        <f t="shared" si="3"/>
        <v>0</v>
      </c>
      <c r="F224" s="3" t="s">
        <v>13</v>
      </c>
      <c r="G224" s="3" t="s">
        <v>14</v>
      </c>
      <c r="H224" s="3" t="s">
        <v>15</v>
      </c>
    </row>
    <row r="225" spans="1:8" ht="12.75">
      <c r="A225" s="2">
        <v>45436</v>
      </c>
      <c r="B225" s="3" t="s">
        <v>11</v>
      </c>
      <c r="C225" s="3" t="s">
        <v>12</v>
      </c>
      <c r="D225" s="4"/>
      <c r="E225" s="3">
        <f t="shared" si="3"/>
        <v>0</v>
      </c>
      <c r="F225" s="3" t="s">
        <v>13</v>
      </c>
      <c r="G225" s="3" t="s">
        <v>14</v>
      </c>
      <c r="H225" s="3" t="s">
        <v>15</v>
      </c>
    </row>
    <row r="226" spans="1:8" ht="12.75">
      <c r="A226" s="2">
        <v>45436</v>
      </c>
      <c r="B226" s="3" t="s">
        <v>24</v>
      </c>
      <c r="C226" s="3" t="s">
        <v>149</v>
      </c>
      <c r="D226" s="4"/>
      <c r="E226" s="3">
        <f t="shared" si="3"/>
        <v>0</v>
      </c>
      <c r="F226" s="3" t="s">
        <v>26</v>
      </c>
      <c r="G226" s="3" t="s">
        <v>19</v>
      </c>
      <c r="H226" s="3" t="s">
        <v>15</v>
      </c>
    </row>
    <row r="227" spans="1:8" ht="12.75">
      <c r="A227" s="2">
        <v>45437</v>
      </c>
      <c r="B227" s="3" t="s">
        <v>58</v>
      </c>
      <c r="C227" s="3" t="s">
        <v>150</v>
      </c>
      <c r="D227" s="4"/>
      <c r="E227" s="3">
        <f t="shared" si="3"/>
        <v>0</v>
      </c>
      <c r="F227" s="3" t="s">
        <v>42</v>
      </c>
      <c r="G227" s="3" t="s">
        <v>14</v>
      </c>
      <c r="H227" s="3" t="s">
        <v>15</v>
      </c>
    </row>
    <row r="228" spans="1:8" ht="12.75">
      <c r="A228" s="2">
        <v>45438</v>
      </c>
      <c r="B228" s="3" t="s">
        <v>60</v>
      </c>
      <c r="C228" s="3" t="s">
        <v>151</v>
      </c>
      <c r="D228" s="4"/>
      <c r="E228" s="3">
        <f t="shared" si="3"/>
        <v>0</v>
      </c>
      <c r="F228" s="3" t="s">
        <v>42</v>
      </c>
      <c r="G228" s="3" t="s">
        <v>14</v>
      </c>
      <c r="H228" s="3" t="s">
        <v>15</v>
      </c>
    </row>
    <row r="229" spans="1:8" ht="12.75">
      <c r="A229" s="2">
        <v>45439</v>
      </c>
      <c r="B229" s="3" t="s">
        <v>62</v>
      </c>
      <c r="C229" s="3" t="s">
        <v>63</v>
      </c>
      <c r="D229" s="4"/>
      <c r="E229" s="3">
        <f t="shared" si="3"/>
        <v>0</v>
      </c>
      <c r="F229" s="3" t="s">
        <v>64</v>
      </c>
      <c r="G229" s="3" t="s">
        <v>65</v>
      </c>
      <c r="H229" s="3" t="s">
        <v>15</v>
      </c>
    </row>
    <row r="230" spans="1:8" ht="12.75">
      <c r="A230" s="2">
        <v>45439</v>
      </c>
      <c r="B230" s="3" t="s">
        <v>30</v>
      </c>
      <c r="C230" s="3" t="s">
        <v>152</v>
      </c>
      <c r="D230" s="4"/>
      <c r="E230" s="3">
        <f t="shared" si="3"/>
        <v>0</v>
      </c>
      <c r="F230" s="3" t="s">
        <v>67</v>
      </c>
      <c r="G230" s="3" t="s">
        <v>23</v>
      </c>
      <c r="H230" s="3" t="s">
        <v>15</v>
      </c>
    </row>
    <row r="231" spans="1:8" ht="12.75">
      <c r="A231" s="2">
        <v>45439</v>
      </c>
      <c r="B231" s="3" t="s">
        <v>11</v>
      </c>
      <c r="C231" s="3" t="s">
        <v>12</v>
      </c>
      <c r="D231" s="4"/>
      <c r="E231" s="3">
        <f t="shared" si="3"/>
        <v>0</v>
      </c>
      <c r="F231" s="3" t="s">
        <v>13</v>
      </c>
      <c r="G231" s="3" t="s">
        <v>14</v>
      </c>
      <c r="H231" s="3" t="s">
        <v>15</v>
      </c>
    </row>
    <row r="232" spans="1:8" ht="12.75">
      <c r="A232" s="2">
        <v>45440</v>
      </c>
      <c r="B232" s="3" t="s">
        <v>11</v>
      </c>
      <c r="C232" s="3" t="s">
        <v>12</v>
      </c>
      <c r="D232" s="4"/>
      <c r="E232" s="3">
        <f t="shared" si="3"/>
        <v>0</v>
      </c>
      <c r="F232" s="3" t="s">
        <v>13</v>
      </c>
      <c r="G232" s="3" t="s">
        <v>14</v>
      </c>
      <c r="H232" s="3" t="s">
        <v>15</v>
      </c>
    </row>
    <row r="233" spans="1:8" ht="12.75">
      <c r="A233" s="2">
        <v>45441</v>
      </c>
      <c r="B233" s="3" t="s">
        <v>11</v>
      </c>
      <c r="C233" s="3" t="s">
        <v>12</v>
      </c>
      <c r="D233" s="4"/>
      <c r="E233" s="3">
        <f t="shared" si="3"/>
        <v>0</v>
      </c>
      <c r="F233" s="3" t="s">
        <v>13</v>
      </c>
      <c r="G233" s="3" t="s">
        <v>14</v>
      </c>
      <c r="H233" s="3" t="s">
        <v>15</v>
      </c>
    </row>
    <row r="234" spans="1:8" ht="12.75">
      <c r="A234" s="2">
        <v>45442</v>
      </c>
      <c r="B234" s="3" t="s">
        <v>11</v>
      </c>
      <c r="C234" s="3" t="s">
        <v>12</v>
      </c>
      <c r="D234" s="4"/>
      <c r="E234" s="3">
        <f t="shared" si="3"/>
        <v>0</v>
      </c>
      <c r="F234" s="3" t="s">
        <v>13</v>
      </c>
      <c r="G234" s="3" t="s">
        <v>14</v>
      </c>
      <c r="H234" s="3" t="s">
        <v>15</v>
      </c>
    </row>
    <row r="235" spans="1:8" ht="12.75">
      <c r="A235" s="2">
        <v>45443</v>
      </c>
      <c r="B235" s="3" t="s">
        <v>11</v>
      </c>
      <c r="C235" s="3" t="s">
        <v>12</v>
      </c>
      <c r="D235" s="4"/>
      <c r="E235" s="3">
        <f t="shared" si="3"/>
        <v>0</v>
      </c>
      <c r="F235" s="3" t="s">
        <v>13</v>
      </c>
      <c r="G235" s="3" t="s">
        <v>14</v>
      </c>
      <c r="H235" s="3" t="s">
        <v>15</v>
      </c>
    </row>
    <row r="236" spans="1:8" ht="12.75">
      <c r="A236" s="2">
        <v>45443</v>
      </c>
      <c r="B236" s="3" t="s">
        <v>24</v>
      </c>
      <c r="C236" s="3" t="s">
        <v>153</v>
      </c>
      <c r="D236" s="4"/>
      <c r="E236" s="3">
        <f t="shared" si="3"/>
        <v>0</v>
      </c>
      <c r="F236" s="3" t="s">
        <v>26</v>
      </c>
      <c r="G236" s="3" t="s">
        <v>19</v>
      </c>
      <c r="H236" s="3" t="s">
        <v>15</v>
      </c>
    </row>
    <row r="237" spans="1:8" ht="12.75">
      <c r="A237" s="2">
        <v>45444</v>
      </c>
      <c r="B237" s="3" t="s">
        <v>69</v>
      </c>
      <c r="C237" s="3" t="s">
        <v>154</v>
      </c>
      <c r="D237" s="4"/>
      <c r="E237" s="3">
        <f t="shared" si="3"/>
        <v>0</v>
      </c>
      <c r="F237" s="3" t="s">
        <v>39</v>
      </c>
      <c r="G237" s="3" t="s">
        <v>36</v>
      </c>
      <c r="H237" s="3" t="s">
        <v>15</v>
      </c>
    </row>
    <row r="238" spans="1:8" ht="12.75">
      <c r="A238" s="2">
        <v>45444</v>
      </c>
      <c r="B238" s="3" t="s">
        <v>155</v>
      </c>
      <c r="C238" s="3" t="s">
        <v>156</v>
      </c>
      <c r="D238" s="4"/>
      <c r="E238" s="3">
        <f t="shared" si="3"/>
        <v>0</v>
      </c>
      <c r="F238" s="3" t="s">
        <v>157</v>
      </c>
      <c r="G238" s="3" t="s">
        <v>36</v>
      </c>
      <c r="H238" s="3" t="s">
        <v>15</v>
      </c>
    </row>
    <row r="239" spans="1:8" ht="12.75">
      <c r="A239" s="2">
        <v>45445</v>
      </c>
      <c r="B239" s="3" t="s">
        <v>37</v>
      </c>
      <c r="C239" s="3" t="s">
        <v>158</v>
      </c>
      <c r="D239" s="4"/>
      <c r="E239" s="3">
        <f t="shared" si="3"/>
        <v>0</v>
      </c>
      <c r="F239" s="3" t="s">
        <v>39</v>
      </c>
      <c r="G239" s="3" t="s">
        <v>36</v>
      </c>
      <c r="H239" s="3" t="s">
        <v>15</v>
      </c>
    </row>
    <row r="240" spans="1:8" ht="12.75">
      <c r="A240" s="2">
        <v>45445</v>
      </c>
      <c r="B240" s="3" t="s">
        <v>43</v>
      </c>
      <c r="C240" s="3" t="s">
        <v>159</v>
      </c>
      <c r="D240" s="4"/>
      <c r="E240" s="3">
        <f t="shared" si="3"/>
        <v>0</v>
      </c>
      <c r="F240" s="3" t="s">
        <v>45</v>
      </c>
      <c r="G240" s="3" t="s">
        <v>23</v>
      </c>
      <c r="H240" s="3" t="s">
        <v>15</v>
      </c>
    </row>
    <row r="241" spans="1:8" ht="12.75">
      <c r="A241" s="2">
        <v>45447</v>
      </c>
      <c r="B241" s="3" t="s">
        <v>121</v>
      </c>
      <c r="C241" s="3" t="s">
        <v>122</v>
      </c>
      <c r="D241" s="4"/>
      <c r="E241" s="3">
        <f t="shared" si="3"/>
        <v>0</v>
      </c>
      <c r="F241" s="3" t="s">
        <v>42</v>
      </c>
      <c r="G241" s="3" t="s">
        <v>14</v>
      </c>
      <c r="H241" s="3" t="s">
        <v>15</v>
      </c>
    </row>
    <row r="242" spans="1:8" ht="12.75">
      <c r="A242" s="2">
        <v>45446</v>
      </c>
      <c r="B242" s="3" t="s">
        <v>11</v>
      </c>
      <c r="C242" s="3" t="s">
        <v>12</v>
      </c>
      <c r="D242" s="4"/>
      <c r="E242" s="3">
        <f t="shared" si="3"/>
        <v>0</v>
      </c>
      <c r="F242" s="3" t="s">
        <v>13</v>
      </c>
      <c r="G242" s="3" t="s">
        <v>14</v>
      </c>
      <c r="H242" s="3" t="s">
        <v>15</v>
      </c>
    </row>
    <row r="243" spans="1:8" ht="12.75">
      <c r="A243" s="2">
        <v>45447</v>
      </c>
      <c r="B243" s="3" t="s">
        <v>11</v>
      </c>
      <c r="C243" s="3" t="s">
        <v>12</v>
      </c>
      <c r="D243" s="4"/>
      <c r="E243" s="3">
        <f t="shared" si="3"/>
        <v>0</v>
      </c>
      <c r="F243" s="3" t="s">
        <v>13</v>
      </c>
      <c r="G243" s="3" t="s">
        <v>14</v>
      </c>
      <c r="H243" s="3" t="s">
        <v>15</v>
      </c>
    </row>
    <row r="244" spans="1:8" ht="12.75">
      <c r="A244" s="2">
        <v>45448</v>
      </c>
      <c r="B244" s="3" t="s">
        <v>7</v>
      </c>
      <c r="C244" s="4">
        <v>0</v>
      </c>
      <c r="D244" s="3" t="s">
        <v>8</v>
      </c>
      <c r="E244" s="3" t="str">
        <f t="shared" si="3"/>
        <v>₹120,000.00</v>
      </c>
      <c r="F244" s="3" t="s">
        <v>75</v>
      </c>
      <c r="G244" s="3" t="s">
        <v>9</v>
      </c>
      <c r="H244" s="3" t="s">
        <v>10</v>
      </c>
    </row>
    <row r="245" spans="1:8" ht="12.75">
      <c r="A245" s="2">
        <v>45450</v>
      </c>
      <c r="B245" s="3" t="s">
        <v>11</v>
      </c>
      <c r="C245" s="3" t="s">
        <v>12</v>
      </c>
      <c r="D245" s="4"/>
      <c r="E245" s="3">
        <f t="shared" si="3"/>
        <v>0</v>
      </c>
      <c r="F245" s="3" t="s">
        <v>13</v>
      </c>
      <c r="G245" s="3" t="s">
        <v>14</v>
      </c>
      <c r="H245" s="3" t="s">
        <v>15</v>
      </c>
    </row>
    <row r="246" spans="1:8" ht="12.75">
      <c r="A246" s="2">
        <v>45450</v>
      </c>
      <c r="B246" s="3" t="s">
        <v>16</v>
      </c>
      <c r="C246" s="3" t="s">
        <v>17</v>
      </c>
      <c r="D246" s="4"/>
      <c r="E246" s="3">
        <f t="shared" si="3"/>
        <v>0</v>
      </c>
      <c r="F246" s="3" t="s">
        <v>18</v>
      </c>
      <c r="G246" s="3" t="s">
        <v>19</v>
      </c>
      <c r="H246" s="3" t="s">
        <v>15</v>
      </c>
    </row>
    <row r="247" spans="1:8" ht="12.75">
      <c r="A247" s="2">
        <v>45450</v>
      </c>
      <c r="B247" s="3" t="s">
        <v>20</v>
      </c>
      <c r="C247" s="3" t="s">
        <v>21</v>
      </c>
      <c r="D247" s="4"/>
      <c r="E247" s="3">
        <f t="shared" si="3"/>
        <v>0</v>
      </c>
      <c r="F247" s="3" t="s">
        <v>22</v>
      </c>
      <c r="G247" s="3" t="s">
        <v>23</v>
      </c>
      <c r="H247" s="3" t="s">
        <v>15</v>
      </c>
    </row>
    <row r="248" spans="1:8" ht="12.75">
      <c r="A248" s="2">
        <v>45450</v>
      </c>
      <c r="B248" s="3" t="s">
        <v>11</v>
      </c>
      <c r="C248" s="3" t="s">
        <v>12</v>
      </c>
      <c r="D248" s="4"/>
      <c r="E248" s="3">
        <f t="shared" si="3"/>
        <v>0</v>
      </c>
      <c r="F248" s="3" t="s">
        <v>13</v>
      </c>
      <c r="G248" s="3" t="s">
        <v>14</v>
      </c>
      <c r="H248" s="3" t="s">
        <v>15</v>
      </c>
    </row>
    <row r="249" spans="1:8" ht="12.75">
      <c r="A249" s="2">
        <v>45451</v>
      </c>
      <c r="B249" s="3" t="s">
        <v>11</v>
      </c>
      <c r="C249" s="3" t="s">
        <v>12</v>
      </c>
      <c r="D249" s="4"/>
      <c r="E249" s="3">
        <f t="shared" si="3"/>
        <v>0</v>
      </c>
      <c r="F249" s="3" t="s">
        <v>13</v>
      </c>
      <c r="G249" s="3" t="s">
        <v>14</v>
      </c>
      <c r="H249" s="3" t="s">
        <v>15</v>
      </c>
    </row>
    <row r="250" spans="1:8" ht="12.75">
      <c r="A250" s="2">
        <v>45452</v>
      </c>
      <c r="B250" s="3" t="s">
        <v>11</v>
      </c>
      <c r="C250" s="3" t="s">
        <v>12</v>
      </c>
      <c r="D250" s="4"/>
      <c r="E250" s="3">
        <f t="shared" si="3"/>
        <v>0</v>
      </c>
      <c r="F250" s="3" t="s">
        <v>13</v>
      </c>
      <c r="G250" s="3" t="s">
        <v>14</v>
      </c>
      <c r="H250" s="3" t="s">
        <v>15</v>
      </c>
    </row>
    <row r="251" spans="1:8" ht="12.75">
      <c r="A251" s="2">
        <v>45453</v>
      </c>
      <c r="B251" s="3" t="s">
        <v>11</v>
      </c>
      <c r="C251" s="3" t="s">
        <v>12</v>
      </c>
      <c r="D251" s="4"/>
      <c r="E251" s="3">
        <f t="shared" si="3"/>
        <v>0</v>
      </c>
      <c r="F251" s="3" t="s">
        <v>13</v>
      </c>
      <c r="G251" s="3" t="s">
        <v>14</v>
      </c>
      <c r="H251" s="3" t="s">
        <v>15</v>
      </c>
    </row>
    <row r="252" spans="1:8" ht="12.75">
      <c r="A252" s="2">
        <v>45453</v>
      </c>
      <c r="B252" s="3" t="s">
        <v>24</v>
      </c>
      <c r="C252" s="3" t="s">
        <v>160</v>
      </c>
      <c r="D252" s="4"/>
      <c r="E252" s="3">
        <f t="shared" si="3"/>
        <v>0</v>
      </c>
      <c r="F252" s="3" t="s">
        <v>26</v>
      </c>
      <c r="G252" s="3" t="s">
        <v>19</v>
      </c>
      <c r="H252" s="3" t="s">
        <v>15</v>
      </c>
    </row>
    <row r="253" spans="1:8" ht="12.75">
      <c r="A253" s="2">
        <v>45456</v>
      </c>
      <c r="B253" s="3" t="s">
        <v>27</v>
      </c>
      <c r="C253" s="3" t="s">
        <v>63</v>
      </c>
      <c r="D253" s="4"/>
      <c r="E253" s="3">
        <f t="shared" si="3"/>
        <v>0</v>
      </c>
      <c r="F253" s="3" t="s">
        <v>29</v>
      </c>
      <c r="G253" s="3" t="s">
        <v>19</v>
      </c>
      <c r="H253" s="3" t="s">
        <v>15</v>
      </c>
    </row>
    <row r="254" spans="1:8" ht="12.75">
      <c r="A254" s="2">
        <v>45456</v>
      </c>
      <c r="B254" s="3" t="s">
        <v>11</v>
      </c>
      <c r="C254" s="3" t="s">
        <v>12</v>
      </c>
      <c r="D254" s="4"/>
      <c r="E254" s="3">
        <f t="shared" si="3"/>
        <v>0</v>
      </c>
      <c r="F254" s="3" t="s">
        <v>13</v>
      </c>
      <c r="G254" s="3" t="s">
        <v>14</v>
      </c>
      <c r="H254" s="3" t="s">
        <v>15</v>
      </c>
    </row>
    <row r="255" spans="1:8" ht="12.75">
      <c r="A255" s="2">
        <v>45457</v>
      </c>
      <c r="B255" s="3" t="s">
        <v>11</v>
      </c>
      <c r="C255" s="3" t="s">
        <v>12</v>
      </c>
      <c r="D255" s="4"/>
      <c r="E255" s="3">
        <f t="shared" si="3"/>
        <v>0</v>
      </c>
      <c r="F255" s="3" t="s">
        <v>13</v>
      </c>
      <c r="G255" s="3" t="s">
        <v>14</v>
      </c>
      <c r="H255" s="3" t="s">
        <v>15</v>
      </c>
    </row>
    <row r="256" spans="1:8" ht="12.75">
      <c r="A256" s="2">
        <v>45458</v>
      </c>
      <c r="B256" s="3" t="s">
        <v>30</v>
      </c>
      <c r="C256" s="3" t="s">
        <v>161</v>
      </c>
      <c r="D256" s="4"/>
      <c r="E256" s="3">
        <f t="shared" si="3"/>
        <v>0</v>
      </c>
      <c r="F256" s="3" t="s">
        <v>67</v>
      </c>
      <c r="G256" s="3" t="s">
        <v>23</v>
      </c>
      <c r="H256" s="3" t="s">
        <v>15</v>
      </c>
    </row>
    <row r="257" spans="1:8" ht="12.75">
      <c r="A257" s="2">
        <v>45458</v>
      </c>
      <c r="B257" s="3" t="s">
        <v>11</v>
      </c>
      <c r="C257" s="3" t="s">
        <v>12</v>
      </c>
      <c r="D257" s="4"/>
      <c r="E257" s="3">
        <f t="shared" si="3"/>
        <v>0</v>
      </c>
      <c r="F257" s="3" t="s">
        <v>13</v>
      </c>
      <c r="G257" s="3" t="s">
        <v>14</v>
      </c>
      <c r="H257" s="3" t="s">
        <v>15</v>
      </c>
    </row>
    <row r="258" spans="1:8" ht="12.75">
      <c r="A258" s="2">
        <v>45459</v>
      </c>
      <c r="B258" s="3" t="s">
        <v>11</v>
      </c>
      <c r="C258" s="3" t="s">
        <v>12</v>
      </c>
      <c r="D258" s="4"/>
      <c r="E258" s="3">
        <f t="shared" si="3"/>
        <v>0</v>
      </c>
      <c r="F258" s="3" t="s">
        <v>13</v>
      </c>
      <c r="G258" s="3" t="s">
        <v>14</v>
      </c>
      <c r="H258" s="3" t="s">
        <v>15</v>
      </c>
    </row>
    <row r="259" spans="1:8" ht="12.75">
      <c r="A259" s="2">
        <v>45460</v>
      </c>
      <c r="B259" s="3" t="s">
        <v>24</v>
      </c>
      <c r="C259" s="3" t="s">
        <v>162</v>
      </c>
      <c r="D259" s="4"/>
      <c r="E259" s="3">
        <f t="shared" ref="E259:E322" si="4">IF(D259="",0,D259)</f>
        <v>0</v>
      </c>
      <c r="F259" s="3" t="s">
        <v>26</v>
      </c>
      <c r="G259" s="3" t="s">
        <v>19</v>
      </c>
      <c r="H259" s="3" t="s">
        <v>15</v>
      </c>
    </row>
    <row r="260" spans="1:8" ht="12.75">
      <c r="A260" s="2">
        <v>45460</v>
      </c>
      <c r="B260" s="3" t="s">
        <v>11</v>
      </c>
      <c r="C260" s="3" t="s">
        <v>12</v>
      </c>
      <c r="D260" s="4"/>
      <c r="E260" s="3">
        <f t="shared" si="4"/>
        <v>0</v>
      </c>
      <c r="F260" s="3" t="s">
        <v>13</v>
      </c>
      <c r="G260" s="3" t="s">
        <v>14</v>
      </c>
      <c r="H260" s="3" t="s">
        <v>15</v>
      </c>
    </row>
    <row r="261" spans="1:8" ht="12.75">
      <c r="A261" s="2">
        <v>45461</v>
      </c>
      <c r="B261" s="3" t="s">
        <v>11</v>
      </c>
      <c r="C261" s="3" t="s">
        <v>12</v>
      </c>
      <c r="D261" s="4"/>
      <c r="E261" s="3">
        <f t="shared" si="4"/>
        <v>0</v>
      </c>
      <c r="F261" s="3" t="s">
        <v>13</v>
      </c>
      <c r="G261" s="3" t="s">
        <v>14</v>
      </c>
      <c r="H261" s="3" t="s">
        <v>15</v>
      </c>
    </row>
    <row r="262" spans="1:8" ht="12.75">
      <c r="A262" s="2">
        <v>45461</v>
      </c>
      <c r="B262" s="3" t="s">
        <v>33</v>
      </c>
      <c r="C262" s="3" t="s">
        <v>163</v>
      </c>
      <c r="D262" s="4"/>
      <c r="E262" s="3">
        <f t="shared" si="4"/>
        <v>0</v>
      </c>
      <c r="F262" s="3" t="s">
        <v>35</v>
      </c>
      <c r="G262" s="3" t="s">
        <v>36</v>
      </c>
      <c r="H262" s="3" t="s">
        <v>15</v>
      </c>
    </row>
    <row r="263" spans="1:8" ht="12.75">
      <c r="A263" s="2">
        <v>45461</v>
      </c>
      <c r="B263" s="3" t="s">
        <v>81</v>
      </c>
      <c r="C263" s="3" t="s">
        <v>164</v>
      </c>
      <c r="D263" s="4"/>
      <c r="E263" s="3">
        <f t="shared" si="4"/>
        <v>0</v>
      </c>
      <c r="F263" s="3" t="s">
        <v>39</v>
      </c>
      <c r="G263" s="3" t="s">
        <v>36</v>
      </c>
      <c r="H263" s="3" t="s">
        <v>15</v>
      </c>
    </row>
    <row r="264" spans="1:8" ht="12.75">
      <c r="A264" s="2">
        <v>45461</v>
      </c>
      <c r="B264" s="3" t="s">
        <v>40</v>
      </c>
      <c r="C264" s="3" t="s">
        <v>165</v>
      </c>
      <c r="D264" s="4"/>
      <c r="E264" s="3">
        <f t="shared" si="4"/>
        <v>0</v>
      </c>
      <c r="F264" s="3" t="s">
        <v>42</v>
      </c>
      <c r="G264" s="3" t="s">
        <v>14</v>
      </c>
      <c r="H264" s="3" t="s">
        <v>15</v>
      </c>
    </row>
    <row r="265" spans="1:8" ht="12.75">
      <c r="A265" s="2">
        <v>45462</v>
      </c>
      <c r="B265" s="3" t="s">
        <v>43</v>
      </c>
      <c r="C265" s="3" t="s">
        <v>166</v>
      </c>
      <c r="D265" s="4"/>
      <c r="E265" s="3">
        <f t="shared" si="4"/>
        <v>0</v>
      </c>
      <c r="F265" s="3" t="s">
        <v>45</v>
      </c>
      <c r="G265" s="3" t="s">
        <v>23</v>
      </c>
      <c r="H265" s="3" t="s">
        <v>15</v>
      </c>
    </row>
    <row r="266" spans="1:8" ht="12.75">
      <c r="A266" s="2">
        <v>45463</v>
      </c>
      <c r="B266" s="3" t="s">
        <v>46</v>
      </c>
      <c r="C266" s="4">
        <v>0</v>
      </c>
      <c r="D266" s="3" t="s">
        <v>167</v>
      </c>
      <c r="E266" s="3" t="str">
        <f t="shared" si="4"/>
        <v>₹2,400.00</v>
      </c>
      <c r="F266" s="3" t="s">
        <v>48</v>
      </c>
      <c r="G266" s="3" t="s">
        <v>49</v>
      </c>
      <c r="H266" s="3" t="s">
        <v>10</v>
      </c>
    </row>
    <row r="267" spans="1:8" ht="12.75">
      <c r="A267" s="2">
        <v>45463</v>
      </c>
      <c r="B267" s="3" t="s">
        <v>11</v>
      </c>
      <c r="C267" s="3" t="s">
        <v>12</v>
      </c>
      <c r="D267" s="4"/>
      <c r="E267" s="3">
        <f t="shared" si="4"/>
        <v>0</v>
      </c>
      <c r="F267" s="3" t="s">
        <v>13</v>
      </c>
      <c r="G267" s="3" t="s">
        <v>14</v>
      </c>
      <c r="H267" s="3" t="s">
        <v>15</v>
      </c>
    </row>
    <row r="268" spans="1:8" ht="12.75">
      <c r="A268" s="2">
        <v>45464</v>
      </c>
      <c r="B268" s="3" t="s">
        <v>11</v>
      </c>
      <c r="C268" s="3" t="s">
        <v>12</v>
      </c>
      <c r="D268" s="4"/>
      <c r="E268" s="3">
        <f t="shared" si="4"/>
        <v>0</v>
      </c>
      <c r="F268" s="3" t="s">
        <v>13</v>
      </c>
      <c r="G268" s="3" t="s">
        <v>14</v>
      </c>
      <c r="H268" s="3" t="s">
        <v>15</v>
      </c>
    </row>
    <row r="269" spans="1:8" ht="12.75">
      <c r="A269" s="2">
        <v>45464</v>
      </c>
      <c r="B269" s="3" t="s">
        <v>51</v>
      </c>
      <c r="C269" s="3" t="s">
        <v>34</v>
      </c>
      <c r="D269" s="4"/>
      <c r="E269" s="3">
        <f t="shared" si="4"/>
        <v>0</v>
      </c>
      <c r="F269" s="3" t="s">
        <v>51</v>
      </c>
      <c r="G269" s="3" t="s">
        <v>19</v>
      </c>
      <c r="H269" s="3" t="s">
        <v>15</v>
      </c>
    </row>
    <row r="270" spans="1:8" ht="12.75">
      <c r="A270" s="2">
        <v>45465</v>
      </c>
      <c r="B270" s="3" t="s">
        <v>52</v>
      </c>
      <c r="C270" s="3" t="s">
        <v>168</v>
      </c>
      <c r="D270" s="4"/>
      <c r="E270" s="3">
        <f t="shared" si="4"/>
        <v>0</v>
      </c>
      <c r="F270" s="3" t="s">
        <v>54</v>
      </c>
      <c r="G270" s="3" t="s">
        <v>36</v>
      </c>
      <c r="H270" s="3" t="s">
        <v>15</v>
      </c>
    </row>
    <row r="271" spans="1:8" ht="12.75">
      <c r="A271" s="2">
        <v>45465</v>
      </c>
      <c r="B271" s="3" t="s">
        <v>55</v>
      </c>
      <c r="C271" s="3" t="s">
        <v>87</v>
      </c>
      <c r="D271" s="4"/>
      <c r="E271" s="3">
        <f t="shared" si="4"/>
        <v>0</v>
      </c>
      <c r="F271" s="3" t="s">
        <v>35</v>
      </c>
      <c r="G271" s="3" t="s">
        <v>36</v>
      </c>
      <c r="H271" s="3" t="s">
        <v>15</v>
      </c>
    </row>
    <row r="272" spans="1:8" ht="12.75">
      <c r="A272" s="2">
        <v>45465</v>
      </c>
      <c r="B272" s="3" t="s">
        <v>11</v>
      </c>
      <c r="C272" s="3" t="s">
        <v>12</v>
      </c>
      <c r="D272" s="4"/>
      <c r="E272" s="3">
        <f t="shared" si="4"/>
        <v>0</v>
      </c>
      <c r="F272" s="3" t="s">
        <v>13</v>
      </c>
      <c r="G272" s="3" t="s">
        <v>14</v>
      </c>
      <c r="H272" s="3" t="s">
        <v>15</v>
      </c>
    </row>
    <row r="273" spans="1:8" ht="12.75">
      <c r="A273" s="2">
        <v>45466</v>
      </c>
      <c r="B273" s="3" t="s">
        <v>11</v>
      </c>
      <c r="C273" s="3" t="s">
        <v>12</v>
      </c>
      <c r="D273" s="4"/>
      <c r="E273" s="3">
        <f t="shared" si="4"/>
        <v>0</v>
      </c>
      <c r="F273" s="3" t="s">
        <v>13</v>
      </c>
      <c r="G273" s="3" t="s">
        <v>14</v>
      </c>
      <c r="H273" s="3" t="s">
        <v>15</v>
      </c>
    </row>
    <row r="274" spans="1:8" ht="12.75">
      <c r="A274" s="2">
        <v>45467</v>
      </c>
      <c r="B274" s="3" t="s">
        <v>11</v>
      </c>
      <c r="C274" s="3" t="s">
        <v>12</v>
      </c>
      <c r="D274" s="4"/>
      <c r="E274" s="3">
        <f t="shared" si="4"/>
        <v>0</v>
      </c>
      <c r="F274" s="3" t="s">
        <v>13</v>
      </c>
      <c r="G274" s="3" t="s">
        <v>14</v>
      </c>
      <c r="H274" s="3" t="s">
        <v>15</v>
      </c>
    </row>
    <row r="275" spans="1:8" ht="12.75">
      <c r="A275" s="2">
        <v>45467</v>
      </c>
      <c r="B275" s="3" t="s">
        <v>24</v>
      </c>
      <c r="C275" s="3" t="s">
        <v>169</v>
      </c>
      <c r="D275" s="4"/>
      <c r="E275" s="3">
        <f t="shared" si="4"/>
        <v>0</v>
      </c>
      <c r="F275" s="3" t="s">
        <v>26</v>
      </c>
      <c r="G275" s="3" t="s">
        <v>19</v>
      </c>
      <c r="H275" s="3" t="s">
        <v>15</v>
      </c>
    </row>
    <row r="276" spans="1:8" ht="12.75">
      <c r="A276" s="2">
        <v>45468</v>
      </c>
      <c r="B276" s="3" t="s">
        <v>58</v>
      </c>
      <c r="C276" s="3" t="s">
        <v>170</v>
      </c>
      <c r="D276" s="4"/>
      <c r="E276" s="3">
        <f t="shared" si="4"/>
        <v>0</v>
      </c>
      <c r="F276" s="3" t="s">
        <v>42</v>
      </c>
      <c r="G276" s="3" t="s">
        <v>14</v>
      </c>
      <c r="H276" s="3" t="s">
        <v>15</v>
      </c>
    </row>
    <row r="277" spans="1:8" ht="12.75">
      <c r="A277" s="2">
        <v>45469</v>
      </c>
      <c r="B277" s="3" t="s">
        <v>60</v>
      </c>
      <c r="C277" s="3" t="s">
        <v>171</v>
      </c>
      <c r="D277" s="4"/>
      <c r="E277" s="3">
        <f t="shared" si="4"/>
        <v>0</v>
      </c>
      <c r="F277" s="3" t="s">
        <v>42</v>
      </c>
      <c r="G277" s="3" t="s">
        <v>14</v>
      </c>
      <c r="H277" s="3" t="s">
        <v>15</v>
      </c>
    </row>
    <row r="278" spans="1:8" ht="12.75">
      <c r="A278" s="2">
        <v>45470</v>
      </c>
      <c r="B278" s="3" t="s">
        <v>62</v>
      </c>
      <c r="C278" s="3" t="s">
        <v>63</v>
      </c>
      <c r="D278" s="4"/>
      <c r="E278" s="3">
        <f t="shared" si="4"/>
        <v>0</v>
      </c>
      <c r="F278" s="3" t="s">
        <v>64</v>
      </c>
      <c r="G278" s="3" t="s">
        <v>65</v>
      </c>
      <c r="H278" s="3" t="s">
        <v>15</v>
      </c>
    </row>
    <row r="279" spans="1:8" ht="12.75">
      <c r="A279" s="2">
        <v>45470</v>
      </c>
      <c r="B279" s="3" t="s">
        <v>30</v>
      </c>
      <c r="C279" s="3" t="s">
        <v>172</v>
      </c>
      <c r="D279" s="4"/>
      <c r="E279" s="3">
        <f t="shared" si="4"/>
        <v>0</v>
      </c>
      <c r="F279" s="3" t="s">
        <v>67</v>
      </c>
      <c r="G279" s="3" t="s">
        <v>23</v>
      </c>
      <c r="H279" s="3" t="s">
        <v>15</v>
      </c>
    </row>
    <row r="280" spans="1:8" ht="12.75">
      <c r="A280" s="2">
        <v>45470</v>
      </c>
      <c r="B280" s="3" t="s">
        <v>11</v>
      </c>
      <c r="C280" s="3" t="s">
        <v>12</v>
      </c>
      <c r="D280" s="4"/>
      <c r="E280" s="3">
        <f t="shared" si="4"/>
        <v>0</v>
      </c>
      <c r="F280" s="3" t="s">
        <v>13</v>
      </c>
      <c r="G280" s="3" t="s">
        <v>14</v>
      </c>
      <c r="H280" s="3" t="s">
        <v>15</v>
      </c>
    </row>
    <row r="281" spans="1:8" ht="12.75">
      <c r="A281" s="2">
        <v>45471</v>
      </c>
      <c r="B281" s="3" t="s">
        <v>11</v>
      </c>
      <c r="C281" s="3" t="s">
        <v>12</v>
      </c>
      <c r="D281" s="4"/>
      <c r="E281" s="3">
        <f t="shared" si="4"/>
        <v>0</v>
      </c>
      <c r="F281" s="3" t="s">
        <v>13</v>
      </c>
      <c r="G281" s="3" t="s">
        <v>14</v>
      </c>
      <c r="H281" s="3" t="s">
        <v>15</v>
      </c>
    </row>
    <row r="282" spans="1:8" ht="12.75">
      <c r="A282" s="2">
        <v>45472</v>
      </c>
      <c r="B282" s="3" t="s">
        <v>11</v>
      </c>
      <c r="C282" s="3" t="s">
        <v>12</v>
      </c>
      <c r="D282" s="4"/>
      <c r="E282" s="3">
        <f t="shared" si="4"/>
        <v>0</v>
      </c>
      <c r="F282" s="3" t="s">
        <v>13</v>
      </c>
      <c r="G282" s="3" t="s">
        <v>14</v>
      </c>
      <c r="H282" s="3" t="s">
        <v>15</v>
      </c>
    </row>
    <row r="283" spans="1:8" ht="12.75">
      <c r="A283" s="2">
        <v>45473</v>
      </c>
      <c r="B283" s="3" t="s">
        <v>11</v>
      </c>
      <c r="C283" s="3" t="s">
        <v>12</v>
      </c>
      <c r="D283" s="4"/>
      <c r="E283" s="3">
        <f t="shared" si="4"/>
        <v>0</v>
      </c>
      <c r="F283" s="3" t="s">
        <v>13</v>
      </c>
      <c r="G283" s="3" t="s">
        <v>14</v>
      </c>
      <c r="H283" s="3" t="s">
        <v>15</v>
      </c>
    </row>
    <row r="284" spans="1:8" ht="12.75">
      <c r="A284" s="2">
        <v>45474</v>
      </c>
      <c r="B284" s="3" t="s">
        <v>11</v>
      </c>
      <c r="C284" s="3" t="s">
        <v>12</v>
      </c>
      <c r="D284" s="4"/>
      <c r="E284" s="3">
        <f t="shared" si="4"/>
        <v>0</v>
      </c>
      <c r="F284" s="3" t="s">
        <v>13</v>
      </c>
      <c r="G284" s="3" t="s">
        <v>14</v>
      </c>
      <c r="H284" s="3" t="s">
        <v>15</v>
      </c>
    </row>
    <row r="285" spans="1:8" ht="12.75">
      <c r="A285" s="2">
        <v>45474</v>
      </c>
      <c r="B285" s="3" t="s">
        <v>24</v>
      </c>
      <c r="C285" s="3" t="s">
        <v>173</v>
      </c>
      <c r="D285" s="4"/>
      <c r="E285" s="3">
        <f t="shared" si="4"/>
        <v>0</v>
      </c>
      <c r="F285" s="3" t="s">
        <v>26</v>
      </c>
      <c r="G285" s="3" t="s">
        <v>19</v>
      </c>
      <c r="H285" s="3" t="s">
        <v>15</v>
      </c>
    </row>
    <row r="286" spans="1:8" ht="12.75">
      <c r="A286" s="2">
        <v>45475</v>
      </c>
      <c r="B286" s="3" t="s">
        <v>69</v>
      </c>
      <c r="C286" s="3" t="s">
        <v>174</v>
      </c>
      <c r="D286" s="4"/>
      <c r="E286" s="3">
        <f t="shared" si="4"/>
        <v>0</v>
      </c>
      <c r="F286" s="3" t="s">
        <v>39</v>
      </c>
      <c r="G286" s="3" t="s">
        <v>36</v>
      </c>
      <c r="H286" s="3" t="s">
        <v>15</v>
      </c>
    </row>
    <row r="287" spans="1:8" ht="12.75">
      <c r="A287" s="2">
        <v>45475</v>
      </c>
      <c r="B287" s="3" t="s">
        <v>71</v>
      </c>
      <c r="C287" s="3" t="s">
        <v>175</v>
      </c>
      <c r="D287" s="4"/>
      <c r="E287" s="3">
        <f t="shared" si="4"/>
        <v>0</v>
      </c>
      <c r="F287" s="3" t="s">
        <v>35</v>
      </c>
      <c r="G287" s="3" t="s">
        <v>36</v>
      </c>
      <c r="H287" s="3" t="s">
        <v>15</v>
      </c>
    </row>
    <row r="288" spans="1:8" ht="12.75">
      <c r="A288" s="2">
        <v>45476</v>
      </c>
      <c r="B288" s="3" t="s">
        <v>37</v>
      </c>
      <c r="C288" s="3" t="s">
        <v>176</v>
      </c>
      <c r="D288" s="4"/>
      <c r="E288" s="3">
        <f t="shared" si="4"/>
        <v>0</v>
      </c>
      <c r="F288" s="3" t="s">
        <v>39</v>
      </c>
      <c r="G288" s="3" t="s">
        <v>36</v>
      </c>
      <c r="H288" s="3" t="s">
        <v>15</v>
      </c>
    </row>
    <row r="289" spans="1:8" ht="12.75">
      <c r="A289" s="2">
        <v>45476</v>
      </c>
      <c r="B289" s="3" t="s">
        <v>43</v>
      </c>
      <c r="C289" s="3" t="s">
        <v>177</v>
      </c>
      <c r="D289" s="4"/>
      <c r="E289" s="3">
        <f t="shared" si="4"/>
        <v>0</v>
      </c>
      <c r="F289" s="3" t="s">
        <v>45</v>
      </c>
      <c r="G289" s="3" t="s">
        <v>23</v>
      </c>
      <c r="H289" s="3" t="s">
        <v>15</v>
      </c>
    </row>
    <row r="290" spans="1:8" ht="12.75">
      <c r="A290" s="2">
        <v>45476</v>
      </c>
      <c r="B290" s="3" t="s">
        <v>121</v>
      </c>
      <c r="C290" s="3" t="s">
        <v>122</v>
      </c>
      <c r="D290" s="4"/>
      <c r="E290" s="3">
        <f t="shared" si="4"/>
        <v>0</v>
      </c>
      <c r="F290" s="3" t="s">
        <v>42</v>
      </c>
      <c r="G290" s="3" t="s">
        <v>14</v>
      </c>
      <c r="H290" s="3" t="s">
        <v>15</v>
      </c>
    </row>
    <row r="291" spans="1:8" ht="12.75">
      <c r="A291" s="2">
        <v>45477</v>
      </c>
      <c r="B291" s="3" t="s">
        <v>11</v>
      </c>
      <c r="C291" s="3" t="s">
        <v>12</v>
      </c>
      <c r="D291" s="4"/>
      <c r="E291" s="3">
        <f t="shared" si="4"/>
        <v>0</v>
      </c>
      <c r="F291" s="3" t="s">
        <v>13</v>
      </c>
      <c r="G291" s="3" t="s">
        <v>14</v>
      </c>
      <c r="H291" s="3" t="s">
        <v>15</v>
      </c>
    </row>
    <row r="292" spans="1:8" ht="12.75">
      <c r="A292" s="2">
        <v>45478</v>
      </c>
      <c r="B292" s="3" t="s">
        <v>11</v>
      </c>
      <c r="C292" s="3" t="s">
        <v>12</v>
      </c>
      <c r="D292" s="4"/>
      <c r="E292" s="3">
        <f t="shared" si="4"/>
        <v>0</v>
      </c>
      <c r="F292" s="3" t="s">
        <v>13</v>
      </c>
      <c r="G292" s="3" t="s">
        <v>14</v>
      </c>
      <c r="H292" s="3" t="s">
        <v>15</v>
      </c>
    </row>
    <row r="293" spans="1:8" ht="12.75">
      <c r="A293" s="2">
        <v>45479</v>
      </c>
      <c r="B293" s="3" t="s">
        <v>7</v>
      </c>
      <c r="C293" s="4">
        <v>0</v>
      </c>
      <c r="D293" s="3" t="s">
        <v>8</v>
      </c>
      <c r="E293" s="3" t="str">
        <f t="shared" si="4"/>
        <v>₹120,000.00</v>
      </c>
      <c r="F293" s="3" t="s">
        <v>75</v>
      </c>
      <c r="G293" s="3" t="s">
        <v>9</v>
      </c>
      <c r="H293" s="3" t="s">
        <v>10</v>
      </c>
    </row>
    <row r="294" spans="1:8" ht="12.75">
      <c r="A294" s="2">
        <v>45480</v>
      </c>
      <c r="B294" s="3" t="s">
        <v>11</v>
      </c>
      <c r="C294" s="3" t="s">
        <v>12</v>
      </c>
      <c r="D294" s="4"/>
      <c r="E294" s="3">
        <f t="shared" si="4"/>
        <v>0</v>
      </c>
      <c r="F294" s="3" t="s">
        <v>13</v>
      </c>
      <c r="G294" s="3" t="s">
        <v>14</v>
      </c>
      <c r="H294" s="3" t="s">
        <v>15</v>
      </c>
    </row>
    <row r="295" spans="1:8" ht="12.75">
      <c r="A295" s="2">
        <v>45482</v>
      </c>
      <c r="B295" s="3" t="s">
        <v>16</v>
      </c>
      <c r="C295" s="3" t="s">
        <v>17</v>
      </c>
      <c r="D295" s="4"/>
      <c r="E295" s="3">
        <f t="shared" si="4"/>
        <v>0</v>
      </c>
      <c r="F295" s="3" t="s">
        <v>18</v>
      </c>
      <c r="G295" s="3" t="s">
        <v>19</v>
      </c>
      <c r="H295" s="3" t="s">
        <v>15</v>
      </c>
    </row>
    <row r="296" spans="1:8" ht="12.75">
      <c r="A296" s="2">
        <v>45482</v>
      </c>
      <c r="B296" s="3" t="s">
        <v>20</v>
      </c>
      <c r="C296" s="3" t="s">
        <v>21</v>
      </c>
      <c r="D296" s="4"/>
      <c r="E296" s="3">
        <f t="shared" si="4"/>
        <v>0</v>
      </c>
      <c r="F296" s="3" t="s">
        <v>22</v>
      </c>
      <c r="G296" s="3" t="s">
        <v>23</v>
      </c>
      <c r="H296" s="3" t="s">
        <v>15</v>
      </c>
    </row>
    <row r="297" spans="1:8" ht="12.75">
      <c r="A297" s="2">
        <v>45482</v>
      </c>
      <c r="B297" s="3" t="s">
        <v>178</v>
      </c>
      <c r="C297" s="3" t="s">
        <v>122</v>
      </c>
      <c r="D297" s="4"/>
      <c r="E297" s="3">
        <f t="shared" si="4"/>
        <v>0</v>
      </c>
      <c r="F297" s="3" t="s">
        <v>42</v>
      </c>
      <c r="G297" s="3" t="s">
        <v>14</v>
      </c>
      <c r="H297" s="3" t="s">
        <v>15</v>
      </c>
    </row>
    <row r="298" spans="1:8" ht="12.75">
      <c r="A298" s="2">
        <v>45482</v>
      </c>
      <c r="B298" s="3" t="s">
        <v>11</v>
      </c>
      <c r="C298" s="3" t="s">
        <v>12</v>
      </c>
      <c r="D298" s="4"/>
      <c r="E298" s="3">
        <f t="shared" si="4"/>
        <v>0</v>
      </c>
      <c r="F298" s="3" t="s">
        <v>13</v>
      </c>
      <c r="G298" s="3" t="s">
        <v>14</v>
      </c>
      <c r="H298" s="3" t="s">
        <v>15</v>
      </c>
    </row>
    <row r="299" spans="1:8" ht="12.75">
      <c r="A299" s="2">
        <v>45483</v>
      </c>
      <c r="B299" s="3" t="s">
        <v>11</v>
      </c>
      <c r="C299" s="3" t="s">
        <v>12</v>
      </c>
      <c r="D299" s="4"/>
      <c r="E299" s="3">
        <f t="shared" si="4"/>
        <v>0</v>
      </c>
      <c r="F299" s="3" t="s">
        <v>13</v>
      </c>
      <c r="G299" s="3" t="s">
        <v>14</v>
      </c>
      <c r="H299" s="3" t="s">
        <v>15</v>
      </c>
    </row>
    <row r="300" spans="1:8" ht="12.75">
      <c r="A300" s="2">
        <v>45484</v>
      </c>
      <c r="B300" s="3" t="s">
        <v>11</v>
      </c>
      <c r="C300" s="3" t="s">
        <v>12</v>
      </c>
      <c r="D300" s="4"/>
      <c r="E300" s="3">
        <f t="shared" si="4"/>
        <v>0</v>
      </c>
      <c r="F300" s="3" t="s">
        <v>13</v>
      </c>
      <c r="G300" s="3" t="s">
        <v>14</v>
      </c>
      <c r="H300" s="3" t="s">
        <v>15</v>
      </c>
    </row>
    <row r="301" spans="1:8" ht="12.75">
      <c r="A301" s="2">
        <v>45484</v>
      </c>
      <c r="B301" s="3" t="s">
        <v>24</v>
      </c>
      <c r="C301" s="3" t="s">
        <v>179</v>
      </c>
      <c r="D301" s="4"/>
      <c r="E301" s="3">
        <f t="shared" si="4"/>
        <v>0</v>
      </c>
      <c r="F301" s="3" t="s">
        <v>26</v>
      </c>
      <c r="G301" s="3" t="s">
        <v>19</v>
      </c>
      <c r="H301" s="3" t="s">
        <v>15</v>
      </c>
    </row>
    <row r="302" spans="1:8" ht="12.75">
      <c r="A302" s="2">
        <v>45487</v>
      </c>
      <c r="B302" s="3" t="s">
        <v>27</v>
      </c>
      <c r="C302" s="3" t="s">
        <v>180</v>
      </c>
      <c r="D302" s="4"/>
      <c r="E302" s="3">
        <f t="shared" si="4"/>
        <v>0</v>
      </c>
      <c r="F302" s="3" t="s">
        <v>29</v>
      </c>
      <c r="G302" s="3" t="s">
        <v>19</v>
      </c>
      <c r="H302" s="3" t="s">
        <v>15</v>
      </c>
    </row>
    <row r="303" spans="1:8" ht="12.75">
      <c r="A303" s="2">
        <v>45487</v>
      </c>
      <c r="B303" s="3" t="s">
        <v>11</v>
      </c>
      <c r="C303" s="3" t="s">
        <v>12</v>
      </c>
      <c r="D303" s="4"/>
      <c r="E303" s="3">
        <f t="shared" si="4"/>
        <v>0</v>
      </c>
      <c r="F303" s="3" t="s">
        <v>13</v>
      </c>
      <c r="G303" s="3" t="s">
        <v>14</v>
      </c>
      <c r="H303" s="3" t="s">
        <v>15</v>
      </c>
    </row>
    <row r="304" spans="1:8" ht="12.75">
      <c r="A304" s="2">
        <v>45488</v>
      </c>
      <c r="B304" s="3" t="s">
        <v>11</v>
      </c>
      <c r="C304" s="3" t="s">
        <v>12</v>
      </c>
      <c r="D304" s="4"/>
      <c r="E304" s="3">
        <f t="shared" si="4"/>
        <v>0</v>
      </c>
      <c r="F304" s="3" t="s">
        <v>13</v>
      </c>
      <c r="G304" s="3" t="s">
        <v>14</v>
      </c>
      <c r="H304" s="3" t="s">
        <v>15</v>
      </c>
    </row>
    <row r="305" spans="1:8" ht="12.75">
      <c r="A305" s="2">
        <v>45489</v>
      </c>
      <c r="B305" s="3" t="s">
        <v>30</v>
      </c>
      <c r="C305" s="3" t="s">
        <v>181</v>
      </c>
      <c r="D305" s="4"/>
      <c r="E305" s="3">
        <f t="shared" si="4"/>
        <v>0</v>
      </c>
      <c r="F305" s="3" t="s">
        <v>67</v>
      </c>
      <c r="G305" s="3" t="s">
        <v>23</v>
      </c>
      <c r="H305" s="3" t="s">
        <v>15</v>
      </c>
    </row>
    <row r="306" spans="1:8" ht="12.75">
      <c r="A306" s="2">
        <v>45489</v>
      </c>
      <c r="B306" s="3" t="s">
        <v>11</v>
      </c>
      <c r="C306" s="3" t="s">
        <v>12</v>
      </c>
      <c r="D306" s="4"/>
      <c r="E306" s="3">
        <f t="shared" si="4"/>
        <v>0</v>
      </c>
      <c r="F306" s="3" t="s">
        <v>13</v>
      </c>
      <c r="G306" s="3" t="s">
        <v>14</v>
      </c>
      <c r="H306" s="3" t="s">
        <v>15</v>
      </c>
    </row>
    <row r="307" spans="1:8" ht="12.75">
      <c r="A307" s="2">
        <v>45490</v>
      </c>
      <c r="B307" s="3" t="s">
        <v>11</v>
      </c>
      <c r="C307" s="3" t="s">
        <v>12</v>
      </c>
      <c r="D307" s="4"/>
      <c r="E307" s="3">
        <f t="shared" si="4"/>
        <v>0</v>
      </c>
      <c r="F307" s="3" t="s">
        <v>13</v>
      </c>
      <c r="G307" s="3" t="s">
        <v>14</v>
      </c>
      <c r="H307" s="3" t="s">
        <v>15</v>
      </c>
    </row>
    <row r="308" spans="1:8" ht="12.75">
      <c r="A308" s="2">
        <v>45491</v>
      </c>
      <c r="B308" s="3" t="s">
        <v>24</v>
      </c>
      <c r="C308" s="3" t="s">
        <v>182</v>
      </c>
      <c r="D308" s="4"/>
      <c r="E308" s="3">
        <f t="shared" si="4"/>
        <v>0</v>
      </c>
      <c r="F308" s="3" t="s">
        <v>26</v>
      </c>
      <c r="G308" s="3" t="s">
        <v>19</v>
      </c>
      <c r="H308" s="3" t="s">
        <v>15</v>
      </c>
    </row>
    <row r="309" spans="1:8" ht="12.75">
      <c r="A309" s="2">
        <v>45491</v>
      </c>
      <c r="B309" s="3" t="s">
        <v>11</v>
      </c>
      <c r="C309" s="3" t="s">
        <v>12</v>
      </c>
      <c r="D309" s="4"/>
      <c r="E309" s="3">
        <f t="shared" si="4"/>
        <v>0</v>
      </c>
      <c r="F309" s="3" t="s">
        <v>13</v>
      </c>
      <c r="G309" s="3" t="s">
        <v>14</v>
      </c>
      <c r="H309" s="3" t="s">
        <v>15</v>
      </c>
    </row>
    <row r="310" spans="1:8" ht="12.75">
      <c r="A310" s="2">
        <v>45492</v>
      </c>
      <c r="B310" s="3" t="s">
        <v>11</v>
      </c>
      <c r="C310" s="3" t="s">
        <v>12</v>
      </c>
      <c r="D310" s="4"/>
      <c r="E310" s="3">
        <f t="shared" si="4"/>
        <v>0</v>
      </c>
      <c r="F310" s="3" t="s">
        <v>13</v>
      </c>
      <c r="G310" s="3" t="s">
        <v>14</v>
      </c>
      <c r="H310" s="3" t="s">
        <v>15</v>
      </c>
    </row>
    <row r="311" spans="1:8" ht="12.75">
      <c r="A311" s="2">
        <v>45492</v>
      </c>
      <c r="B311" s="3" t="s">
        <v>33</v>
      </c>
      <c r="C311" s="3" t="s">
        <v>183</v>
      </c>
      <c r="D311" s="4"/>
      <c r="E311" s="3">
        <f t="shared" si="4"/>
        <v>0</v>
      </c>
      <c r="F311" s="3" t="s">
        <v>35</v>
      </c>
      <c r="G311" s="3" t="s">
        <v>36</v>
      </c>
      <c r="H311" s="3" t="s">
        <v>15</v>
      </c>
    </row>
    <row r="312" spans="1:8" ht="12.75">
      <c r="A312" s="2">
        <v>45492</v>
      </c>
      <c r="B312" s="3" t="s">
        <v>81</v>
      </c>
      <c r="C312" s="3" t="s">
        <v>184</v>
      </c>
      <c r="D312" s="4"/>
      <c r="E312" s="3">
        <f t="shared" si="4"/>
        <v>0</v>
      </c>
      <c r="F312" s="3" t="s">
        <v>39</v>
      </c>
      <c r="G312" s="3" t="s">
        <v>36</v>
      </c>
      <c r="H312" s="3" t="s">
        <v>15</v>
      </c>
    </row>
    <row r="313" spans="1:8" ht="12.75">
      <c r="A313" s="2">
        <v>45492</v>
      </c>
      <c r="B313" s="3" t="s">
        <v>40</v>
      </c>
      <c r="C313" s="3" t="s">
        <v>185</v>
      </c>
      <c r="D313" s="4"/>
      <c r="E313" s="3">
        <f t="shared" si="4"/>
        <v>0</v>
      </c>
      <c r="F313" s="3" t="s">
        <v>42</v>
      </c>
      <c r="G313" s="3" t="s">
        <v>14</v>
      </c>
      <c r="H313" s="3" t="s">
        <v>15</v>
      </c>
    </row>
    <row r="314" spans="1:8" ht="12.75">
      <c r="A314" s="2">
        <v>45493</v>
      </c>
      <c r="B314" s="3" t="s">
        <v>43</v>
      </c>
      <c r="C314" s="3" t="s">
        <v>186</v>
      </c>
      <c r="D314" s="4"/>
      <c r="E314" s="3">
        <f t="shared" si="4"/>
        <v>0</v>
      </c>
      <c r="F314" s="3" t="s">
        <v>45</v>
      </c>
      <c r="G314" s="3" t="s">
        <v>23</v>
      </c>
      <c r="H314" s="3" t="s">
        <v>15</v>
      </c>
    </row>
    <row r="315" spans="1:8" ht="12.75">
      <c r="A315" s="2">
        <v>45494</v>
      </c>
      <c r="B315" s="3" t="s">
        <v>46</v>
      </c>
      <c r="C315" s="4">
        <v>0</v>
      </c>
      <c r="D315" s="3" t="s">
        <v>187</v>
      </c>
      <c r="E315" s="3" t="str">
        <f t="shared" si="4"/>
        <v>₹4,800.00</v>
      </c>
      <c r="F315" s="3" t="s">
        <v>48</v>
      </c>
      <c r="G315" s="3" t="s">
        <v>49</v>
      </c>
      <c r="H315" s="3" t="s">
        <v>10</v>
      </c>
    </row>
    <row r="316" spans="1:8" ht="12.75">
      <c r="A316" s="2">
        <v>45494</v>
      </c>
      <c r="B316" s="3" t="s">
        <v>11</v>
      </c>
      <c r="C316" s="3" t="s">
        <v>12</v>
      </c>
      <c r="D316" s="4"/>
      <c r="E316" s="3">
        <f t="shared" si="4"/>
        <v>0</v>
      </c>
      <c r="F316" s="3" t="s">
        <v>13</v>
      </c>
      <c r="G316" s="3" t="s">
        <v>14</v>
      </c>
      <c r="H316" s="3" t="s">
        <v>15</v>
      </c>
    </row>
    <row r="317" spans="1:8" ht="12.75">
      <c r="A317" s="2">
        <v>45495</v>
      </c>
      <c r="B317" s="3" t="s">
        <v>11</v>
      </c>
      <c r="C317" s="3" t="s">
        <v>12</v>
      </c>
      <c r="D317" s="4"/>
      <c r="E317" s="3">
        <f t="shared" si="4"/>
        <v>0</v>
      </c>
      <c r="F317" s="3" t="s">
        <v>13</v>
      </c>
      <c r="G317" s="3" t="s">
        <v>14</v>
      </c>
      <c r="H317" s="3" t="s">
        <v>15</v>
      </c>
    </row>
    <row r="318" spans="1:8" ht="12.75">
      <c r="A318" s="2">
        <v>45495</v>
      </c>
      <c r="B318" s="3" t="s">
        <v>51</v>
      </c>
      <c r="C318" s="3" t="s">
        <v>34</v>
      </c>
      <c r="D318" s="4"/>
      <c r="E318" s="3">
        <f t="shared" si="4"/>
        <v>0</v>
      </c>
      <c r="F318" s="3" t="s">
        <v>51</v>
      </c>
      <c r="G318" s="3" t="s">
        <v>19</v>
      </c>
      <c r="H318" s="3" t="s">
        <v>15</v>
      </c>
    </row>
    <row r="319" spans="1:8" ht="12.75">
      <c r="A319" s="2">
        <v>45496</v>
      </c>
      <c r="B319" s="3" t="s">
        <v>52</v>
      </c>
      <c r="C319" s="3" t="s">
        <v>77</v>
      </c>
      <c r="D319" s="4"/>
      <c r="E319" s="3">
        <f t="shared" si="4"/>
        <v>0</v>
      </c>
      <c r="F319" s="3" t="s">
        <v>54</v>
      </c>
      <c r="G319" s="3" t="s">
        <v>36</v>
      </c>
      <c r="H319" s="3" t="s">
        <v>15</v>
      </c>
    </row>
    <row r="320" spans="1:8" ht="12.75">
      <c r="A320" s="2">
        <v>45496</v>
      </c>
      <c r="B320" s="3" t="s">
        <v>55</v>
      </c>
      <c r="C320" s="3" t="s">
        <v>87</v>
      </c>
      <c r="D320" s="4"/>
      <c r="E320" s="3">
        <f t="shared" si="4"/>
        <v>0</v>
      </c>
      <c r="F320" s="3" t="s">
        <v>35</v>
      </c>
      <c r="G320" s="3" t="s">
        <v>36</v>
      </c>
      <c r="H320" s="3" t="s">
        <v>15</v>
      </c>
    </row>
    <row r="321" spans="1:8" ht="12.75">
      <c r="A321" s="2">
        <v>45496</v>
      </c>
      <c r="B321" s="3" t="s">
        <v>11</v>
      </c>
      <c r="C321" s="3" t="s">
        <v>12</v>
      </c>
      <c r="D321" s="4"/>
      <c r="E321" s="3">
        <f t="shared" si="4"/>
        <v>0</v>
      </c>
      <c r="F321" s="3" t="s">
        <v>13</v>
      </c>
      <c r="G321" s="3" t="s">
        <v>14</v>
      </c>
      <c r="H321" s="3" t="s">
        <v>15</v>
      </c>
    </row>
    <row r="322" spans="1:8" ht="12.75">
      <c r="A322" s="2">
        <v>45497</v>
      </c>
      <c r="B322" s="3" t="s">
        <v>11</v>
      </c>
      <c r="C322" s="3" t="s">
        <v>12</v>
      </c>
      <c r="D322" s="4"/>
      <c r="E322" s="3">
        <f t="shared" si="4"/>
        <v>0</v>
      </c>
      <c r="F322" s="3" t="s">
        <v>13</v>
      </c>
      <c r="G322" s="3" t="s">
        <v>14</v>
      </c>
      <c r="H322" s="3" t="s">
        <v>15</v>
      </c>
    </row>
    <row r="323" spans="1:8" ht="12.75">
      <c r="A323" s="2">
        <v>45498</v>
      </c>
      <c r="B323" s="3" t="s">
        <v>11</v>
      </c>
      <c r="C323" s="3" t="s">
        <v>12</v>
      </c>
      <c r="D323" s="4"/>
      <c r="E323" s="3">
        <f t="shared" ref="E323:E386" si="5">IF(D323="",0,D323)</f>
        <v>0</v>
      </c>
      <c r="F323" s="3" t="s">
        <v>13</v>
      </c>
      <c r="G323" s="3" t="s">
        <v>14</v>
      </c>
      <c r="H323" s="3" t="s">
        <v>15</v>
      </c>
    </row>
    <row r="324" spans="1:8" ht="12.75">
      <c r="A324" s="2">
        <v>45498</v>
      </c>
      <c r="B324" s="3" t="s">
        <v>24</v>
      </c>
      <c r="C324" s="3" t="s">
        <v>188</v>
      </c>
      <c r="D324" s="4"/>
      <c r="E324" s="3">
        <f t="shared" si="5"/>
        <v>0</v>
      </c>
      <c r="F324" s="3" t="s">
        <v>26</v>
      </c>
      <c r="G324" s="3" t="s">
        <v>19</v>
      </c>
      <c r="H324" s="3" t="s">
        <v>15</v>
      </c>
    </row>
    <row r="325" spans="1:8" ht="12.75">
      <c r="A325" s="2">
        <v>45499</v>
      </c>
      <c r="B325" s="3" t="s">
        <v>58</v>
      </c>
      <c r="C325" s="3" t="s">
        <v>189</v>
      </c>
      <c r="D325" s="4"/>
      <c r="E325" s="3">
        <f t="shared" si="5"/>
        <v>0</v>
      </c>
      <c r="F325" s="3" t="s">
        <v>42</v>
      </c>
      <c r="G325" s="3" t="s">
        <v>14</v>
      </c>
      <c r="H325" s="3" t="s">
        <v>15</v>
      </c>
    </row>
    <row r="326" spans="1:8" ht="12.75">
      <c r="A326" s="2">
        <v>45500</v>
      </c>
      <c r="B326" s="3" t="s">
        <v>60</v>
      </c>
      <c r="C326" s="3" t="s">
        <v>190</v>
      </c>
      <c r="D326" s="4"/>
      <c r="E326" s="3">
        <f t="shared" si="5"/>
        <v>0</v>
      </c>
      <c r="F326" s="3" t="s">
        <v>42</v>
      </c>
      <c r="G326" s="3" t="s">
        <v>14</v>
      </c>
      <c r="H326" s="3" t="s">
        <v>15</v>
      </c>
    </row>
    <row r="327" spans="1:8" ht="12.75">
      <c r="A327" s="2">
        <v>45501</v>
      </c>
      <c r="B327" s="3" t="s">
        <v>62</v>
      </c>
      <c r="C327" s="3" t="s">
        <v>63</v>
      </c>
      <c r="D327" s="4"/>
      <c r="E327" s="3">
        <f t="shared" si="5"/>
        <v>0</v>
      </c>
      <c r="F327" s="3" t="s">
        <v>64</v>
      </c>
      <c r="G327" s="3" t="s">
        <v>65</v>
      </c>
      <c r="H327" s="3" t="s">
        <v>15</v>
      </c>
    </row>
    <row r="328" spans="1:8" ht="12.75">
      <c r="A328" s="2">
        <v>45501</v>
      </c>
      <c r="B328" s="3" t="s">
        <v>30</v>
      </c>
      <c r="C328" s="3" t="s">
        <v>191</v>
      </c>
      <c r="D328" s="4"/>
      <c r="E328" s="3">
        <f t="shared" si="5"/>
        <v>0</v>
      </c>
      <c r="F328" s="3" t="s">
        <v>67</v>
      </c>
      <c r="G328" s="3" t="s">
        <v>23</v>
      </c>
      <c r="H328" s="3" t="s">
        <v>15</v>
      </c>
    </row>
    <row r="329" spans="1:8" ht="12.75">
      <c r="A329" s="2">
        <v>45501</v>
      </c>
      <c r="B329" s="3" t="s">
        <v>11</v>
      </c>
      <c r="C329" s="3" t="s">
        <v>12</v>
      </c>
      <c r="D329" s="4"/>
      <c r="E329" s="3">
        <f t="shared" si="5"/>
        <v>0</v>
      </c>
      <c r="F329" s="3" t="s">
        <v>13</v>
      </c>
      <c r="G329" s="3" t="s">
        <v>14</v>
      </c>
      <c r="H329" s="3" t="s">
        <v>15</v>
      </c>
    </row>
    <row r="330" spans="1:8" ht="12.75">
      <c r="A330" s="2">
        <v>45502</v>
      </c>
      <c r="B330" s="3" t="s">
        <v>11</v>
      </c>
      <c r="C330" s="3" t="s">
        <v>12</v>
      </c>
      <c r="D330" s="4"/>
      <c r="E330" s="3">
        <f t="shared" si="5"/>
        <v>0</v>
      </c>
      <c r="F330" s="3" t="s">
        <v>13</v>
      </c>
      <c r="G330" s="3" t="s">
        <v>14</v>
      </c>
      <c r="H330" s="3" t="s">
        <v>15</v>
      </c>
    </row>
    <row r="331" spans="1:8" ht="12.75">
      <c r="A331" s="2">
        <v>45503</v>
      </c>
      <c r="B331" s="3" t="s">
        <v>11</v>
      </c>
      <c r="C331" s="3" t="s">
        <v>12</v>
      </c>
      <c r="D331" s="4"/>
      <c r="E331" s="3">
        <f t="shared" si="5"/>
        <v>0</v>
      </c>
      <c r="F331" s="3" t="s">
        <v>13</v>
      </c>
      <c r="G331" s="3" t="s">
        <v>14</v>
      </c>
      <c r="H331" s="3" t="s">
        <v>15</v>
      </c>
    </row>
    <row r="332" spans="1:8" ht="12.75">
      <c r="A332" s="2">
        <v>45504</v>
      </c>
      <c r="B332" s="3" t="s">
        <v>11</v>
      </c>
      <c r="C332" s="3" t="s">
        <v>12</v>
      </c>
      <c r="D332" s="4"/>
      <c r="E332" s="3">
        <f t="shared" si="5"/>
        <v>0</v>
      </c>
      <c r="F332" s="3" t="s">
        <v>13</v>
      </c>
      <c r="G332" s="3" t="s">
        <v>14</v>
      </c>
      <c r="H332" s="3" t="s">
        <v>15</v>
      </c>
    </row>
    <row r="333" spans="1:8" ht="12.75">
      <c r="A333" s="2">
        <v>45505</v>
      </c>
      <c r="B333" s="3" t="s">
        <v>11</v>
      </c>
      <c r="C333" s="3" t="s">
        <v>12</v>
      </c>
      <c r="D333" s="4"/>
      <c r="E333" s="3">
        <f t="shared" si="5"/>
        <v>0</v>
      </c>
      <c r="F333" s="3" t="s">
        <v>13</v>
      </c>
      <c r="G333" s="3" t="s">
        <v>14</v>
      </c>
      <c r="H333" s="3" t="s">
        <v>15</v>
      </c>
    </row>
    <row r="334" spans="1:8" ht="12.75">
      <c r="A334" s="2">
        <v>45505</v>
      </c>
      <c r="B334" s="3" t="s">
        <v>24</v>
      </c>
      <c r="C334" s="3" t="s">
        <v>192</v>
      </c>
      <c r="D334" s="4"/>
      <c r="E334" s="3">
        <f t="shared" si="5"/>
        <v>0</v>
      </c>
      <c r="F334" s="3" t="s">
        <v>26</v>
      </c>
      <c r="G334" s="3" t="s">
        <v>19</v>
      </c>
      <c r="H334" s="3" t="s">
        <v>15</v>
      </c>
    </row>
    <row r="335" spans="1:8" ht="12.75">
      <c r="A335" s="2">
        <v>45506</v>
      </c>
      <c r="B335" s="3" t="s">
        <v>69</v>
      </c>
      <c r="C335" s="3" t="s">
        <v>193</v>
      </c>
      <c r="D335" s="4"/>
      <c r="E335" s="3">
        <f t="shared" si="5"/>
        <v>0</v>
      </c>
      <c r="F335" s="3" t="s">
        <v>39</v>
      </c>
      <c r="G335" s="3" t="s">
        <v>36</v>
      </c>
      <c r="H335" s="3" t="s">
        <v>15</v>
      </c>
    </row>
    <row r="336" spans="1:8" ht="12.75">
      <c r="A336" s="2">
        <v>45506</v>
      </c>
      <c r="B336" s="3" t="s">
        <v>155</v>
      </c>
      <c r="C336" s="3" t="s">
        <v>194</v>
      </c>
      <c r="D336" s="4"/>
      <c r="E336" s="3">
        <f t="shared" si="5"/>
        <v>0</v>
      </c>
      <c r="F336" s="3" t="s">
        <v>157</v>
      </c>
      <c r="G336" s="3" t="s">
        <v>36</v>
      </c>
      <c r="H336" s="3" t="s">
        <v>15</v>
      </c>
    </row>
    <row r="337" spans="1:8" ht="12.75">
      <c r="A337" s="2">
        <v>45507</v>
      </c>
      <c r="B337" s="3" t="s">
        <v>37</v>
      </c>
      <c r="C337" s="3" t="s">
        <v>195</v>
      </c>
      <c r="D337" s="4"/>
      <c r="E337" s="3">
        <f t="shared" si="5"/>
        <v>0</v>
      </c>
      <c r="F337" s="3" t="s">
        <v>39</v>
      </c>
      <c r="G337" s="3" t="s">
        <v>36</v>
      </c>
      <c r="H337" s="3" t="s">
        <v>15</v>
      </c>
    </row>
    <row r="338" spans="1:8" ht="12.75">
      <c r="A338" s="2">
        <v>45507</v>
      </c>
      <c r="B338" s="3" t="s">
        <v>43</v>
      </c>
      <c r="C338" s="3" t="s">
        <v>196</v>
      </c>
      <c r="D338" s="4"/>
      <c r="E338" s="3">
        <f t="shared" si="5"/>
        <v>0</v>
      </c>
      <c r="F338" s="3" t="s">
        <v>45</v>
      </c>
      <c r="G338" s="3" t="s">
        <v>23</v>
      </c>
      <c r="H338" s="3" t="s">
        <v>15</v>
      </c>
    </row>
    <row r="339" spans="1:8" ht="12.75">
      <c r="A339" s="2">
        <v>45507</v>
      </c>
      <c r="B339" s="3" t="s">
        <v>121</v>
      </c>
      <c r="C339" s="3" t="s">
        <v>122</v>
      </c>
      <c r="D339" s="4"/>
      <c r="E339" s="3">
        <f t="shared" si="5"/>
        <v>0</v>
      </c>
      <c r="F339" s="3" t="s">
        <v>42</v>
      </c>
      <c r="G339" s="3" t="s">
        <v>14</v>
      </c>
      <c r="H339" s="3" t="s">
        <v>15</v>
      </c>
    </row>
    <row r="340" spans="1:8" ht="12.75">
      <c r="A340" s="2">
        <v>45508</v>
      </c>
      <c r="B340" s="3" t="s">
        <v>11</v>
      </c>
      <c r="C340" s="3" t="s">
        <v>12</v>
      </c>
      <c r="D340" s="4"/>
      <c r="E340" s="3">
        <f t="shared" si="5"/>
        <v>0</v>
      </c>
      <c r="F340" s="3" t="s">
        <v>13</v>
      </c>
      <c r="G340" s="3" t="s">
        <v>14</v>
      </c>
      <c r="H340" s="3" t="s">
        <v>15</v>
      </c>
    </row>
    <row r="341" spans="1:8" ht="12.75">
      <c r="A341" s="2">
        <v>45510</v>
      </c>
      <c r="B341" s="3" t="s">
        <v>11</v>
      </c>
      <c r="C341" s="3" t="s">
        <v>12</v>
      </c>
      <c r="D341" s="4"/>
      <c r="E341" s="3">
        <f t="shared" si="5"/>
        <v>0</v>
      </c>
      <c r="F341" s="3" t="s">
        <v>13</v>
      </c>
      <c r="G341" s="3" t="s">
        <v>14</v>
      </c>
      <c r="H341" s="3" t="s">
        <v>15</v>
      </c>
    </row>
    <row r="342" spans="1:8" ht="12.75">
      <c r="A342" s="2">
        <v>45510</v>
      </c>
      <c r="B342" s="3" t="s">
        <v>7</v>
      </c>
      <c r="C342" s="4">
        <v>0</v>
      </c>
      <c r="D342" s="3" t="s">
        <v>8</v>
      </c>
      <c r="E342" s="3" t="str">
        <f t="shared" si="5"/>
        <v>₹120,000.00</v>
      </c>
      <c r="F342" s="3" t="s">
        <v>75</v>
      </c>
      <c r="G342" s="3" t="s">
        <v>9</v>
      </c>
      <c r="H342" s="3" t="s">
        <v>10</v>
      </c>
    </row>
    <row r="343" spans="1:8" ht="12.75">
      <c r="A343" s="2">
        <v>45511</v>
      </c>
      <c r="B343" s="3" t="s">
        <v>11</v>
      </c>
      <c r="C343" s="3" t="s">
        <v>12</v>
      </c>
      <c r="D343" s="4"/>
      <c r="E343" s="3">
        <f t="shared" si="5"/>
        <v>0</v>
      </c>
      <c r="F343" s="3" t="s">
        <v>13</v>
      </c>
      <c r="G343" s="3" t="s">
        <v>14</v>
      </c>
      <c r="H343" s="3" t="s">
        <v>15</v>
      </c>
    </row>
    <row r="344" spans="1:8" ht="12.75">
      <c r="A344" s="2">
        <v>45513</v>
      </c>
      <c r="B344" s="3" t="s">
        <v>16</v>
      </c>
      <c r="C344" s="3" t="s">
        <v>17</v>
      </c>
      <c r="D344" s="4"/>
      <c r="E344" s="3">
        <f t="shared" si="5"/>
        <v>0</v>
      </c>
      <c r="F344" s="3" t="s">
        <v>18</v>
      </c>
      <c r="G344" s="3" t="s">
        <v>19</v>
      </c>
      <c r="H344" s="3" t="s">
        <v>15</v>
      </c>
    </row>
    <row r="345" spans="1:8" ht="12.75">
      <c r="A345" s="2">
        <v>45513</v>
      </c>
      <c r="B345" s="3" t="s">
        <v>20</v>
      </c>
      <c r="C345" s="3" t="s">
        <v>21</v>
      </c>
      <c r="D345" s="4"/>
      <c r="E345" s="3">
        <f t="shared" si="5"/>
        <v>0</v>
      </c>
      <c r="F345" s="3" t="s">
        <v>22</v>
      </c>
      <c r="G345" s="3" t="s">
        <v>23</v>
      </c>
      <c r="H345" s="3" t="s">
        <v>15</v>
      </c>
    </row>
    <row r="346" spans="1:8" ht="12.75">
      <c r="A346" s="2">
        <v>45513</v>
      </c>
      <c r="B346" s="3" t="s">
        <v>11</v>
      </c>
      <c r="C346" s="3" t="s">
        <v>12</v>
      </c>
      <c r="D346" s="4"/>
      <c r="E346" s="3">
        <f t="shared" si="5"/>
        <v>0</v>
      </c>
      <c r="F346" s="3" t="s">
        <v>13</v>
      </c>
      <c r="G346" s="3" t="s">
        <v>14</v>
      </c>
      <c r="H346" s="3" t="s">
        <v>15</v>
      </c>
    </row>
    <row r="347" spans="1:8" ht="12.75">
      <c r="A347" s="2">
        <v>45513</v>
      </c>
      <c r="B347" s="3" t="s">
        <v>11</v>
      </c>
      <c r="C347" s="3" t="s">
        <v>12</v>
      </c>
      <c r="D347" s="4"/>
      <c r="E347" s="3">
        <f t="shared" si="5"/>
        <v>0</v>
      </c>
      <c r="F347" s="3" t="s">
        <v>13</v>
      </c>
      <c r="G347" s="3" t="s">
        <v>14</v>
      </c>
      <c r="H347" s="3" t="s">
        <v>15</v>
      </c>
    </row>
    <row r="348" spans="1:8" ht="12.75">
      <c r="A348" s="2">
        <v>45514</v>
      </c>
      <c r="B348" s="3" t="s">
        <v>11</v>
      </c>
      <c r="C348" s="3" t="s">
        <v>12</v>
      </c>
      <c r="D348" s="4"/>
      <c r="E348" s="3">
        <f t="shared" si="5"/>
        <v>0</v>
      </c>
      <c r="F348" s="3" t="s">
        <v>13</v>
      </c>
      <c r="G348" s="3" t="s">
        <v>14</v>
      </c>
      <c r="H348" s="3" t="s">
        <v>15</v>
      </c>
    </row>
    <row r="349" spans="1:8" ht="12.75">
      <c r="A349" s="2">
        <v>45515</v>
      </c>
      <c r="B349" s="3" t="s">
        <v>11</v>
      </c>
      <c r="C349" s="3" t="s">
        <v>12</v>
      </c>
      <c r="D349" s="4"/>
      <c r="E349" s="3">
        <f t="shared" si="5"/>
        <v>0</v>
      </c>
      <c r="F349" s="3" t="s">
        <v>13</v>
      </c>
      <c r="G349" s="3" t="s">
        <v>14</v>
      </c>
      <c r="H349" s="3" t="s">
        <v>15</v>
      </c>
    </row>
    <row r="350" spans="1:8" ht="12.75">
      <c r="A350" s="2">
        <v>45515</v>
      </c>
      <c r="B350" s="3" t="s">
        <v>24</v>
      </c>
      <c r="C350" s="3" t="s">
        <v>95</v>
      </c>
      <c r="D350" s="4"/>
      <c r="E350" s="3">
        <f t="shared" si="5"/>
        <v>0</v>
      </c>
      <c r="F350" s="3" t="s">
        <v>26</v>
      </c>
      <c r="G350" s="3" t="s">
        <v>19</v>
      </c>
      <c r="H350" s="3" t="s">
        <v>15</v>
      </c>
    </row>
    <row r="351" spans="1:8" ht="12.75">
      <c r="A351" s="2">
        <v>45518</v>
      </c>
      <c r="B351" s="3" t="s">
        <v>27</v>
      </c>
      <c r="C351" s="3" t="s">
        <v>197</v>
      </c>
      <c r="D351" s="4"/>
      <c r="E351" s="3">
        <f t="shared" si="5"/>
        <v>0</v>
      </c>
      <c r="F351" s="3" t="s">
        <v>29</v>
      </c>
      <c r="G351" s="3" t="s">
        <v>19</v>
      </c>
      <c r="H351" s="3" t="s">
        <v>15</v>
      </c>
    </row>
    <row r="352" spans="1:8" ht="12.75">
      <c r="A352" s="2">
        <v>45518</v>
      </c>
      <c r="B352" s="3" t="s">
        <v>11</v>
      </c>
      <c r="C352" s="3" t="s">
        <v>12</v>
      </c>
      <c r="D352" s="4"/>
      <c r="E352" s="3">
        <f t="shared" si="5"/>
        <v>0</v>
      </c>
      <c r="F352" s="3" t="s">
        <v>13</v>
      </c>
      <c r="G352" s="3" t="s">
        <v>14</v>
      </c>
      <c r="H352" s="3" t="s">
        <v>15</v>
      </c>
    </row>
    <row r="353" spans="1:8" ht="12.75">
      <c r="A353" s="2">
        <v>45519</v>
      </c>
      <c r="B353" s="3" t="s">
        <v>11</v>
      </c>
      <c r="C353" s="3" t="s">
        <v>12</v>
      </c>
      <c r="D353" s="4"/>
      <c r="E353" s="3">
        <f t="shared" si="5"/>
        <v>0</v>
      </c>
      <c r="F353" s="3" t="s">
        <v>13</v>
      </c>
      <c r="G353" s="3" t="s">
        <v>14</v>
      </c>
      <c r="H353" s="3" t="s">
        <v>15</v>
      </c>
    </row>
    <row r="354" spans="1:8" ht="12.75">
      <c r="A354" s="2">
        <v>45520</v>
      </c>
      <c r="B354" s="3" t="s">
        <v>30</v>
      </c>
      <c r="C354" s="3" t="s">
        <v>198</v>
      </c>
      <c r="D354" s="4"/>
      <c r="E354" s="3">
        <f t="shared" si="5"/>
        <v>0</v>
      </c>
      <c r="F354" s="3" t="s">
        <v>67</v>
      </c>
      <c r="G354" s="3" t="s">
        <v>23</v>
      </c>
      <c r="H354" s="3" t="s">
        <v>15</v>
      </c>
    </row>
    <row r="355" spans="1:8" ht="12.75">
      <c r="A355" s="2">
        <v>45520</v>
      </c>
      <c r="B355" s="3" t="s">
        <v>11</v>
      </c>
      <c r="C355" s="3" t="s">
        <v>12</v>
      </c>
      <c r="D355" s="4"/>
      <c r="E355" s="3">
        <f t="shared" si="5"/>
        <v>0</v>
      </c>
      <c r="F355" s="3" t="s">
        <v>13</v>
      </c>
      <c r="G355" s="3" t="s">
        <v>14</v>
      </c>
      <c r="H355" s="3" t="s">
        <v>15</v>
      </c>
    </row>
    <row r="356" spans="1:8" ht="12.75">
      <c r="A356" s="2">
        <v>45521</v>
      </c>
      <c r="B356" s="3" t="s">
        <v>11</v>
      </c>
      <c r="C356" s="3" t="s">
        <v>12</v>
      </c>
      <c r="D356" s="4"/>
      <c r="E356" s="3">
        <f t="shared" si="5"/>
        <v>0</v>
      </c>
      <c r="F356" s="3" t="s">
        <v>13</v>
      </c>
      <c r="G356" s="3" t="s">
        <v>14</v>
      </c>
      <c r="H356" s="3" t="s">
        <v>15</v>
      </c>
    </row>
    <row r="357" spans="1:8" ht="12.75">
      <c r="A357" s="2">
        <v>45522</v>
      </c>
      <c r="B357" s="3" t="s">
        <v>24</v>
      </c>
      <c r="C357" s="3" t="s">
        <v>199</v>
      </c>
      <c r="D357" s="4"/>
      <c r="E357" s="3">
        <f t="shared" si="5"/>
        <v>0</v>
      </c>
      <c r="F357" s="3" t="s">
        <v>26</v>
      </c>
      <c r="G357" s="3" t="s">
        <v>19</v>
      </c>
      <c r="H357" s="3" t="s">
        <v>15</v>
      </c>
    </row>
    <row r="358" spans="1:8" ht="12.75">
      <c r="A358" s="2">
        <v>45522</v>
      </c>
      <c r="B358" s="3" t="s">
        <v>11</v>
      </c>
      <c r="C358" s="3" t="s">
        <v>12</v>
      </c>
      <c r="D358" s="4"/>
      <c r="E358" s="3">
        <f t="shared" si="5"/>
        <v>0</v>
      </c>
      <c r="F358" s="3" t="s">
        <v>13</v>
      </c>
      <c r="G358" s="3" t="s">
        <v>14</v>
      </c>
      <c r="H358" s="3" t="s">
        <v>15</v>
      </c>
    </row>
    <row r="359" spans="1:8" ht="12.75">
      <c r="A359" s="2">
        <v>45523</v>
      </c>
      <c r="B359" s="3" t="s">
        <v>11</v>
      </c>
      <c r="C359" s="3" t="s">
        <v>12</v>
      </c>
      <c r="D359" s="4"/>
      <c r="E359" s="3">
        <f t="shared" si="5"/>
        <v>0</v>
      </c>
      <c r="F359" s="3" t="s">
        <v>13</v>
      </c>
      <c r="G359" s="3" t="s">
        <v>14</v>
      </c>
      <c r="H359" s="3" t="s">
        <v>15</v>
      </c>
    </row>
    <row r="360" spans="1:8" ht="12.75">
      <c r="A360" s="2">
        <v>45523</v>
      </c>
      <c r="B360" s="3" t="s">
        <v>33</v>
      </c>
      <c r="C360" s="3" t="s">
        <v>110</v>
      </c>
      <c r="D360" s="4"/>
      <c r="E360" s="3">
        <f t="shared" si="5"/>
        <v>0</v>
      </c>
      <c r="F360" s="3" t="s">
        <v>35</v>
      </c>
      <c r="G360" s="3" t="s">
        <v>36</v>
      </c>
      <c r="H360" s="3" t="s">
        <v>15</v>
      </c>
    </row>
    <row r="361" spans="1:8" ht="12.75">
      <c r="A361" s="2">
        <v>45523</v>
      </c>
      <c r="B361" s="3" t="s">
        <v>200</v>
      </c>
      <c r="C361" s="3" t="s">
        <v>201</v>
      </c>
      <c r="D361" s="4"/>
      <c r="E361" s="3">
        <f t="shared" si="5"/>
        <v>0</v>
      </c>
      <c r="F361" s="3" t="s">
        <v>39</v>
      </c>
      <c r="G361" s="3" t="s">
        <v>36</v>
      </c>
      <c r="H361" s="3" t="s">
        <v>15</v>
      </c>
    </row>
    <row r="362" spans="1:8" ht="12.75">
      <c r="A362" s="2">
        <v>45523</v>
      </c>
      <c r="B362" s="3" t="s">
        <v>40</v>
      </c>
      <c r="C362" s="3" t="s">
        <v>202</v>
      </c>
      <c r="D362" s="4"/>
      <c r="E362" s="3">
        <f t="shared" si="5"/>
        <v>0</v>
      </c>
      <c r="F362" s="3" t="s">
        <v>42</v>
      </c>
      <c r="G362" s="3" t="s">
        <v>14</v>
      </c>
      <c r="H362" s="3" t="s">
        <v>15</v>
      </c>
    </row>
    <row r="363" spans="1:8" ht="12.75">
      <c r="A363" s="2">
        <v>45524</v>
      </c>
      <c r="B363" s="3" t="s">
        <v>43</v>
      </c>
      <c r="C363" s="3" t="s">
        <v>203</v>
      </c>
      <c r="D363" s="4"/>
      <c r="E363" s="3">
        <f t="shared" si="5"/>
        <v>0</v>
      </c>
      <c r="F363" s="3" t="s">
        <v>45</v>
      </c>
      <c r="G363" s="3" t="s">
        <v>23</v>
      </c>
      <c r="H363" s="3" t="s">
        <v>15</v>
      </c>
    </row>
    <row r="364" spans="1:8" ht="12.75">
      <c r="A364" s="2">
        <v>45525</v>
      </c>
      <c r="B364" s="3" t="s">
        <v>46</v>
      </c>
      <c r="C364" s="4">
        <v>0</v>
      </c>
      <c r="D364" s="3" t="s">
        <v>85</v>
      </c>
      <c r="E364" s="3" t="str">
        <f t="shared" si="5"/>
        <v>₹19,200.00</v>
      </c>
      <c r="F364" s="3" t="s">
        <v>48</v>
      </c>
      <c r="G364" s="3" t="s">
        <v>49</v>
      </c>
      <c r="H364" s="3" t="s">
        <v>10</v>
      </c>
    </row>
    <row r="365" spans="1:8" ht="12.75">
      <c r="A365" s="2">
        <v>45525</v>
      </c>
      <c r="B365" s="3" t="s">
        <v>11</v>
      </c>
      <c r="C365" s="3" t="s">
        <v>12</v>
      </c>
      <c r="D365" s="4"/>
      <c r="E365" s="3">
        <f t="shared" si="5"/>
        <v>0</v>
      </c>
      <c r="F365" s="3" t="s">
        <v>13</v>
      </c>
      <c r="G365" s="3" t="s">
        <v>14</v>
      </c>
      <c r="H365" s="3" t="s">
        <v>15</v>
      </c>
    </row>
    <row r="366" spans="1:8" ht="12.75">
      <c r="A366" s="2">
        <v>45526</v>
      </c>
      <c r="B366" s="3" t="s">
        <v>11</v>
      </c>
      <c r="C366" s="3" t="s">
        <v>12</v>
      </c>
      <c r="D366" s="4"/>
      <c r="E366" s="3">
        <f t="shared" si="5"/>
        <v>0</v>
      </c>
      <c r="F366" s="3" t="s">
        <v>13</v>
      </c>
      <c r="G366" s="3" t="s">
        <v>14</v>
      </c>
      <c r="H366" s="3" t="s">
        <v>15</v>
      </c>
    </row>
    <row r="367" spans="1:8" ht="12.75">
      <c r="A367" s="2">
        <v>45526</v>
      </c>
      <c r="B367" s="3" t="s">
        <v>51</v>
      </c>
      <c r="C367" s="3" t="s">
        <v>34</v>
      </c>
      <c r="D367" s="4"/>
      <c r="E367" s="3">
        <f t="shared" si="5"/>
        <v>0</v>
      </c>
      <c r="F367" s="3" t="s">
        <v>51</v>
      </c>
      <c r="G367" s="3" t="s">
        <v>19</v>
      </c>
      <c r="H367" s="3" t="s">
        <v>15</v>
      </c>
    </row>
    <row r="368" spans="1:8" ht="12.75">
      <c r="A368" s="2">
        <v>45527</v>
      </c>
      <c r="B368" s="3" t="s">
        <v>52</v>
      </c>
      <c r="C368" s="3" t="s">
        <v>99</v>
      </c>
      <c r="D368" s="4"/>
      <c r="E368" s="3">
        <f t="shared" si="5"/>
        <v>0</v>
      </c>
      <c r="F368" s="3" t="s">
        <v>54</v>
      </c>
      <c r="G368" s="3" t="s">
        <v>36</v>
      </c>
      <c r="H368" s="3" t="s">
        <v>15</v>
      </c>
    </row>
    <row r="369" spans="1:8" ht="12.75">
      <c r="A369" s="2">
        <v>45527</v>
      </c>
      <c r="B369" s="3" t="s">
        <v>55</v>
      </c>
      <c r="C369" s="3" t="s">
        <v>87</v>
      </c>
      <c r="D369" s="4"/>
      <c r="E369" s="3">
        <f t="shared" si="5"/>
        <v>0</v>
      </c>
      <c r="F369" s="3" t="s">
        <v>35</v>
      </c>
      <c r="G369" s="3" t="s">
        <v>36</v>
      </c>
      <c r="H369" s="3" t="s">
        <v>15</v>
      </c>
    </row>
    <row r="370" spans="1:8" ht="12.75">
      <c r="A370" s="2">
        <v>45527</v>
      </c>
      <c r="B370" s="3" t="s">
        <v>11</v>
      </c>
      <c r="C370" s="3" t="s">
        <v>12</v>
      </c>
      <c r="D370" s="4"/>
      <c r="E370" s="3">
        <f t="shared" si="5"/>
        <v>0</v>
      </c>
      <c r="F370" s="3" t="s">
        <v>13</v>
      </c>
      <c r="G370" s="3" t="s">
        <v>14</v>
      </c>
      <c r="H370" s="3" t="s">
        <v>15</v>
      </c>
    </row>
    <row r="371" spans="1:8" ht="12.75">
      <c r="A371" s="2">
        <v>45528</v>
      </c>
      <c r="B371" s="3" t="s">
        <v>11</v>
      </c>
      <c r="C371" s="3" t="s">
        <v>12</v>
      </c>
      <c r="D371" s="4"/>
      <c r="E371" s="3">
        <f t="shared" si="5"/>
        <v>0</v>
      </c>
      <c r="F371" s="3" t="s">
        <v>13</v>
      </c>
      <c r="G371" s="3" t="s">
        <v>14</v>
      </c>
      <c r="H371" s="3" t="s">
        <v>15</v>
      </c>
    </row>
    <row r="372" spans="1:8" ht="12.75">
      <c r="A372" s="2">
        <v>45529</v>
      </c>
      <c r="B372" s="3" t="s">
        <v>11</v>
      </c>
      <c r="C372" s="3" t="s">
        <v>12</v>
      </c>
      <c r="D372" s="4"/>
      <c r="E372" s="3">
        <f t="shared" si="5"/>
        <v>0</v>
      </c>
      <c r="F372" s="3" t="s">
        <v>13</v>
      </c>
      <c r="G372" s="3" t="s">
        <v>14</v>
      </c>
      <c r="H372" s="3" t="s">
        <v>15</v>
      </c>
    </row>
    <row r="373" spans="1:8" ht="12.75">
      <c r="A373" s="2">
        <v>45529</v>
      </c>
      <c r="B373" s="3" t="s">
        <v>24</v>
      </c>
      <c r="C373" s="3" t="s">
        <v>204</v>
      </c>
      <c r="D373" s="4"/>
      <c r="E373" s="3">
        <f t="shared" si="5"/>
        <v>0</v>
      </c>
      <c r="F373" s="3" t="s">
        <v>26</v>
      </c>
      <c r="G373" s="3" t="s">
        <v>19</v>
      </c>
      <c r="H373" s="3" t="s">
        <v>15</v>
      </c>
    </row>
    <row r="374" spans="1:8" ht="12.75">
      <c r="A374" s="2">
        <v>45530</v>
      </c>
      <c r="B374" s="3" t="s">
        <v>58</v>
      </c>
      <c r="C374" s="3" t="s">
        <v>205</v>
      </c>
      <c r="D374" s="4"/>
      <c r="E374" s="3">
        <f t="shared" si="5"/>
        <v>0</v>
      </c>
      <c r="F374" s="3" t="s">
        <v>42</v>
      </c>
      <c r="G374" s="3" t="s">
        <v>14</v>
      </c>
      <c r="H374" s="3" t="s">
        <v>15</v>
      </c>
    </row>
    <row r="375" spans="1:8" ht="12.75">
      <c r="A375" s="2">
        <v>45531</v>
      </c>
      <c r="B375" s="3" t="s">
        <v>60</v>
      </c>
      <c r="C375" s="3" t="s">
        <v>206</v>
      </c>
      <c r="D375" s="4"/>
      <c r="E375" s="3">
        <f t="shared" si="5"/>
        <v>0</v>
      </c>
      <c r="F375" s="3" t="s">
        <v>42</v>
      </c>
      <c r="G375" s="3" t="s">
        <v>14</v>
      </c>
      <c r="H375" s="3" t="s">
        <v>15</v>
      </c>
    </row>
    <row r="376" spans="1:8" ht="12.75">
      <c r="A376" s="2">
        <v>45532</v>
      </c>
      <c r="B376" s="3" t="s">
        <v>62</v>
      </c>
      <c r="C376" s="3" t="s">
        <v>63</v>
      </c>
      <c r="D376" s="4"/>
      <c r="E376" s="3">
        <f t="shared" si="5"/>
        <v>0</v>
      </c>
      <c r="F376" s="3" t="s">
        <v>64</v>
      </c>
      <c r="G376" s="3" t="s">
        <v>65</v>
      </c>
      <c r="H376" s="3" t="s">
        <v>15</v>
      </c>
    </row>
    <row r="377" spans="1:8" ht="12.75">
      <c r="A377" s="2">
        <v>45532</v>
      </c>
      <c r="B377" s="3" t="s">
        <v>30</v>
      </c>
      <c r="C377" s="3" t="s">
        <v>207</v>
      </c>
      <c r="D377" s="4"/>
      <c r="E377" s="3">
        <f t="shared" si="5"/>
        <v>0</v>
      </c>
      <c r="F377" s="3" t="s">
        <v>67</v>
      </c>
      <c r="G377" s="3" t="s">
        <v>23</v>
      </c>
      <c r="H377" s="3" t="s">
        <v>15</v>
      </c>
    </row>
    <row r="378" spans="1:8" ht="12.75">
      <c r="A378" s="2">
        <v>45532</v>
      </c>
      <c r="B378" s="3" t="s">
        <v>11</v>
      </c>
      <c r="C378" s="3" t="s">
        <v>12</v>
      </c>
      <c r="D378" s="4"/>
      <c r="E378" s="3">
        <f t="shared" si="5"/>
        <v>0</v>
      </c>
      <c r="F378" s="3" t="s">
        <v>13</v>
      </c>
      <c r="G378" s="3" t="s">
        <v>14</v>
      </c>
      <c r="H378" s="3" t="s">
        <v>15</v>
      </c>
    </row>
    <row r="379" spans="1:8" ht="12.75">
      <c r="A379" s="2">
        <v>45533</v>
      </c>
      <c r="B379" s="3" t="s">
        <v>11</v>
      </c>
      <c r="C379" s="3" t="s">
        <v>12</v>
      </c>
      <c r="D379" s="4"/>
      <c r="E379" s="3">
        <f t="shared" si="5"/>
        <v>0</v>
      </c>
      <c r="F379" s="3" t="s">
        <v>13</v>
      </c>
      <c r="G379" s="3" t="s">
        <v>14</v>
      </c>
      <c r="H379" s="3" t="s">
        <v>15</v>
      </c>
    </row>
    <row r="380" spans="1:8" ht="12.75">
      <c r="A380" s="2">
        <v>45534</v>
      </c>
      <c r="B380" s="3" t="s">
        <v>11</v>
      </c>
      <c r="C380" s="3" t="s">
        <v>12</v>
      </c>
      <c r="D380" s="4"/>
      <c r="E380" s="3">
        <f t="shared" si="5"/>
        <v>0</v>
      </c>
      <c r="F380" s="3" t="s">
        <v>13</v>
      </c>
      <c r="G380" s="3" t="s">
        <v>14</v>
      </c>
      <c r="H380" s="3" t="s">
        <v>15</v>
      </c>
    </row>
    <row r="381" spans="1:8" ht="12.75">
      <c r="A381" s="2">
        <v>45535</v>
      </c>
      <c r="B381" s="3" t="s">
        <v>11</v>
      </c>
      <c r="C381" s="3" t="s">
        <v>12</v>
      </c>
      <c r="D381" s="4"/>
      <c r="E381" s="3">
        <f t="shared" si="5"/>
        <v>0</v>
      </c>
      <c r="F381" s="3" t="s">
        <v>13</v>
      </c>
      <c r="G381" s="3" t="s">
        <v>14</v>
      </c>
      <c r="H381" s="3" t="s">
        <v>15</v>
      </c>
    </row>
    <row r="382" spans="1:8" ht="12.75">
      <c r="A382" s="2">
        <v>45536</v>
      </c>
      <c r="B382" s="3" t="s">
        <v>11</v>
      </c>
      <c r="C382" s="3" t="s">
        <v>12</v>
      </c>
      <c r="D382" s="4"/>
      <c r="E382" s="3">
        <f t="shared" si="5"/>
        <v>0</v>
      </c>
      <c r="F382" s="3" t="s">
        <v>13</v>
      </c>
      <c r="G382" s="3" t="s">
        <v>14</v>
      </c>
      <c r="H382" s="3" t="s">
        <v>15</v>
      </c>
    </row>
    <row r="383" spans="1:8" ht="12.75">
      <c r="A383" s="2">
        <v>45536</v>
      </c>
      <c r="B383" s="3" t="s">
        <v>24</v>
      </c>
      <c r="C383" s="3" t="s">
        <v>208</v>
      </c>
      <c r="D383" s="4"/>
      <c r="E383" s="3">
        <f t="shared" si="5"/>
        <v>0</v>
      </c>
      <c r="F383" s="3" t="s">
        <v>26</v>
      </c>
      <c r="G383" s="3" t="s">
        <v>19</v>
      </c>
      <c r="H383" s="3" t="s">
        <v>15</v>
      </c>
    </row>
    <row r="384" spans="1:8" ht="12.75">
      <c r="A384" s="2">
        <v>45537</v>
      </c>
      <c r="B384" s="3" t="s">
        <v>69</v>
      </c>
      <c r="C384" s="3" t="s">
        <v>209</v>
      </c>
      <c r="D384" s="4"/>
      <c r="E384" s="3">
        <f t="shared" si="5"/>
        <v>0</v>
      </c>
      <c r="F384" s="3" t="s">
        <v>39</v>
      </c>
      <c r="G384" s="3" t="s">
        <v>36</v>
      </c>
      <c r="H384" s="3" t="s">
        <v>15</v>
      </c>
    </row>
    <row r="385" spans="1:8" ht="12.75">
      <c r="A385" s="2">
        <v>45537</v>
      </c>
      <c r="B385" s="3" t="s">
        <v>71</v>
      </c>
      <c r="C385" s="3" t="s">
        <v>210</v>
      </c>
      <c r="D385" s="4"/>
      <c r="E385" s="3">
        <f t="shared" si="5"/>
        <v>0</v>
      </c>
      <c r="F385" s="3" t="s">
        <v>35</v>
      </c>
      <c r="G385" s="3" t="s">
        <v>36</v>
      </c>
      <c r="H385" s="3" t="s">
        <v>15</v>
      </c>
    </row>
    <row r="386" spans="1:8" ht="12.75">
      <c r="A386" s="2">
        <v>45538</v>
      </c>
      <c r="B386" s="3" t="s">
        <v>37</v>
      </c>
      <c r="C386" s="3" t="s">
        <v>211</v>
      </c>
      <c r="D386" s="4"/>
      <c r="E386" s="3">
        <f t="shared" si="5"/>
        <v>0</v>
      </c>
      <c r="F386" s="3" t="s">
        <v>39</v>
      </c>
      <c r="G386" s="3" t="s">
        <v>36</v>
      </c>
      <c r="H386" s="3" t="s">
        <v>15</v>
      </c>
    </row>
    <row r="387" spans="1:8" ht="12.75">
      <c r="A387" s="2">
        <v>45538</v>
      </c>
      <c r="B387" s="3" t="s">
        <v>43</v>
      </c>
      <c r="C387" s="3" t="s">
        <v>212</v>
      </c>
      <c r="D387" s="4"/>
      <c r="E387" s="3">
        <f t="shared" ref="E387:E450" si="6">IF(D387="",0,D387)</f>
        <v>0</v>
      </c>
      <c r="F387" s="3" t="s">
        <v>45</v>
      </c>
      <c r="G387" s="3" t="s">
        <v>23</v>
      </c>
      <c r="H387" s="3" t="s">
        <v>15</v>
      </c>
    </row>
    <row r="388" spans="1:8" ht="12.75">
      <c r="A388" s="2">
        <v>45538</v>
      </c>
      <c r="B388" s="3" t="s">
        <v>121</v>
      </c>
      <c r="C388" s="3" t="s">
        <v>122</v>
      </c>
      <c r="D388" s="4"/>
      <c r="E388" s="3">
        <f t="shared" si="6"/>
        <v>0</v>
      </c>
      <c r="F388" s="3" t="s">
        <v>42</v>
      </c>
      <c r="G388" s="3" t="s">
        <v>14</v>
      </c>
      <c r="H388" s="3" t="s">
        <v>15</v>
      </c>
    </row>
    <row r="389" spans="1:8" ht="12.75">
      <c r="A389" s="2">
        <v>45539</v>
      </c>
      <c r="B389" s="3" t="s">
        <v>11</v>
      </c>
      <c r="C389" s="3" t="s">
        <v>12</v>
      </c>
      <c r="D389" s="4"/>
      <c r="E389" s="3">
        <f t="shared" si="6"/>
        <v>0</v>
      </c>
      <c r="F389" s="3" t="s">
        <v>13</v>
      </c>
      <c r="G389" s="3" t="s">
        <v>14</v>
      </c>
      <c r="H389" s="3" t="s">
        <v>15</v>
      </c>
    </row>
    <row r="390" spans="1:8" ht="12.75">
      <c r="A390" s="2">
        <v>45541</v>
      </c>
      <c r="B390" s="3" t="s">
        <v>11</v>
      </c>
      <c r="C390" s="3" t="s">
        <v>12</v>
      </c>
      <c r="D390" s="4"/>
      <c r="E390" s="3">
        <f t="shared" si="6"/>
        <v>0</v>
      </c>
      <c r="F390" s="3" t="s">
        <v>13</v>
      </c>
      <c r="G390" s="3" t="s">
        <v>14</v>
      </c>
      <c r="H390" s="3" t="s">
        <v>15</v>
      </c>
    </row>
    <row r="391" spans="1:8" ht="12.75">
      <c r="A391" s="2">
        <v>45541</v>
      </c>
      <c r="B391" s="3" t="s">
        <v>7</v>
      </c>
      <c r="C391" s="4">
        <v>0</v>
      </c>
      <c r="D391" s="3" t="s">
        <v>8</v>
      </c>
      <c r="E391" s="3" t="str">
        <f t="shared" si="6"/>
        <v>₹120,000.00</v>
      </c>
      <c r="F391" s="3" t="s">
        <v>75</v>
      </c>
      <c r="G391" s="3" t="s">
        <v>9</v>
      </c>
      <c r="H391" s="3" t="s">
        <v>10</v>
      </c>
    </row>
    <row r="392" spans="1:8" ht="12.75">
      <c r="A392" s="2">
        <v>45542</v>
      </c>
      <c r="B392" s="3" t="s">
        <v>11</v>
      </c>
      <c r="C392" s="3" t="s">
        <v>12</v>
      </c>
      <c r="D392" s="4"/>
      <c r="E392" s="3">
        <f t="shared" si="6"/>
        <v>0</v>
      </c>
      <c r="F392" s="3" t="s">
        <v>13</v>
      </c>
      <c r="G392" s="3" t="s">
        <v>14</v>
      </c>
      <c r="H392" s="3" t="s">
        <v>15</v>
      </c>
    </row>
    <row r="393" spans="1:8" ht="12.75">
      <c r="A393" s="2">
        <v>45544</v>
      </c>
      <c r="B393" s="3" t="s">
        <v>16</v>
      </c>
      <c r="C393" s="3" t="s">
        <v>17</v>
      </c>
      <c r="D393" s="4"/>
      <c r="E393" s="3">
        <f t="shared" si="6"/>
        <v>0</v>
      </c>
      <c r="F393" s="3" t="s">
        <v>18</v>
      </c>
      <c r="G393" s="3" t="s">
        <v>19</v>
      </c>
      <c r="H393" s="3" t="s">
        <v>15</v>
      </c>
    </row>
    <row r="394" spans="1:8" ht="12.75">
      <c r="A394" s="2">
        <v>45544</v>
      </c>
      <c r="B394" s="3" t="s">
        <v>20</v>
      </c>
      <c r="C394" s="3" t="s">
        <v>21</v>
      </c>
      <c r="D394" s="4"/>
      <c r="E394" s="3">
        <f t="shared" si="6"/>
        <v>0</v>
      </c>
      <c r="F394" s="3" t="s">
        <v>22</v>
      </c>
      <c r="G394" s="3" t="s">
        <v>23</v>
      </c>
      <c r="H394" s="3" t="s">
        <v>15</v>
      </c>
    </row>
    <row r="395" spans="1:8" ht="12.75">
      <c r="A395" s="2">
        <v>45544</v>
      </c>
      <c r="B395" s="3" t="s">
        <v>11</v>
      </c>
      <c r="C395" s="3" t="s">
        <v>12</v>
      </c>
      <c r="D395" s="4"/>
      <c r="E395" s="3">
        <f t="shared" si="6"/>
        <v>0</v>
      </c>
      <c r="F395" s="3" t="s">
        <v>13</v>
      </c>
      <c r="G395" s="3" t="s">
        <v>14</v>
      </c>
      <c r="H395" s="3" t="s">
        <v>15</v>
      </c>
    </row>
    <row r="396" spans="1:8" ht="12.75">
      <c r="A396" s="2">
        <v>45544</v>
      </c>
      <c r="B396" s="3" t="s">
        <v>11</v>
      </c>
      <c r="C396" s="3" t="s">
        <v>12</v>
      </c>
      <c r="D396" s="4"/>
      <c r="E396" s="3">
        <f t="shared" si="6"/>
        <v>0</v>
      </c>
      <c r="F396" s="3" t="s">
        <v>13</v>
      </c>
      <c r="G396" s="3" t="s">
        <v>14</v>
      </c>
      <c r="H396" s="3" t="s">
        <v>15</v>
      </c>
    </row>
    <row r="397" spans="1:8" ht="12.75">
      <c r="A397" s="2">
        <v>45545</v>
      </c>
      <c r="B397" s="3" t="s">
        <v>11</v>
      </c>
      <c r="C397" s="3" t="s">
        <v>12</v>
      </c>
      <c r="D397" s="4"/>
      <c r="E397" s="3">
        <f t="shared" si="6"/>
        <v>0</v>
      </c>
      <c r="F397" s="3" t="s">
        <v>13</v>
      </c>
      <c r="G397" s="3" t="s">
        <v>14</v>
      </c>
      <c r="H397" s="3" t="s">
        <v>15</v>
      </c>
    </row>
    <row r="398" spans="1:8" ht="12.75">
      <c r="A398" s="2">
        <v>45546</v>
      </c>
      <c r="B398" s="3" t="s">
        <v>11</v>
      </c>
      <c r="C398" s="3" t="s">
        <v>12</v>
      </c>
      <c r="D398" s="4"/>
      <c r="E398" s="3">
        <f t="shared" si="6"/>
        <v>0</v>
      </c>
      <c r="F398" s="3" t="s">
        <v>13</v>
      </c>
      <c r="G398" s="3" t="s">
        <v>14</v>
      </c>
      <c r="H398" s="3" t="s">
        <v>15</v>
      </c>
    </row>
    <row r="399" spans="1:8" ht="12.75">
      <c r="A399" s="2">
        <v>45546</v>
      </c>
      <c r="B399" s="3" t="s">
        <v>24</v>
      </c>
      <c r="C399" s="3" t="s">
        <v>213</v>
      </c>
      <c r="D399" s="4"/>
      <c r="E399" s="3">
        <f t="shared" si="6"/>
        <v>0</v>
      </c>
      <c r="F399" s="3" t="s">
        <v>26</v>
      </c>
      <c r="G399" s="3" t="s">
        <v>19</v>
      </c>
      <c r="H399" s="3" t="s">
        <v>15</v>
      </c>
    </row>
    <row r="400" spans="1:8" ht="12.75">
      <c r="A400" s="2">
        <v>45549</v>
      </c>
      <c r="B400" s="3" t="s">
        <v>27</v>
      </c>
      <c r="C400" s="3" t="s">
        <v>214</v>
      </c>
      <c r="D400" s="4"/>
      <c r="E400" s="3">
        <f t="shared" si="6"/>
        <v>0</v>
      </c>
      <c r="F400" s="3" t="s">
        <v>29</v>
      </c>
      <c r="G400" s="3" t="s">
        <v>19</v>
      </c>
      <c r="H400" s="3" t="s">
        <v>15</v>
      </c>
    </row>
    <row r="401" spans="1:8" ht="12.75">
      <c r="A401" s="2">
        <v>45549</v>
      </c>
      <c r="B401" s="3" t="s">
        <v>11</v>
      </c>
      <c r="C401" s="3" t="s">
        <v>12</v>
      </c>
      <c r="D401" s="4"/>
      <c r="E401" s="3">
        <f t="shared" si="6"/>
        <v>0</v>
      </c>
      <c r="F401" s="3" t="s">
        <v>13</v>
      </c>
      <c r="G401" s="3" t="s">
        <v>14</v>
      </c>
      <c r="H401" s="3" t="s">
        <v>15</v>
      </c>
    </row>
    <row r="402" spans="1:8" ht="12.75">
      <c r="A402" s="2">
        <v>45550</v>
      </c>
      <c r="B402" s="3" t="s">
        <v>11</v>
      </c>
      <c r="C402" s="3" t="s">
        <v>12</v>
      </c>
      <c r="D402" s="4"/>
      <c r="E402" s="3">
        <f t="shared" si="6"/>
        <v>0</v>
      </c>
      <c r="F402" s="3" t="s">
        <v>13</v>
      </c>
      <c r="G402" s="3" t="s">
        <v>14</v>
      </c>
      <c r="H402" s="3" t="s">
        <v>15</v>
      </c>
    </row>
    <row r="403" spans="1:8" ht="12.75">
      <c r="A403" s="2">
        <v>45551</v>
      </c>
      <c r="B403" s="3" t="s">
        <v>30</v>
      </c>
      <c r="C403" s="3" t="s">
        <v>215</v>
      </c>
      <c r="D403" s="4"/>
      <c r="E403" s="3">
        <f t="shared" si="6"/>
        <v>0</v>
      </c>
      <c r="F403" s="3" t="s">
        <v>67</v>
      </c>
      <c r="G403" s="3" t="s">
        <v>23</v>
      </c>
      <c r="H403" s="3" t="s">
        <v>15</v>
      </c>
    </row>
    <row r="404" spans="1:8" ht="12.75">
      <c r="A404" s="2">
        <v>45551</v>
      </c>
      <c r="B404" s="3" t="s">
        <v>11</v>
      </c>
      <c r="C404" s="3" t="s">
        <v>12</v>
      </c>
      <c r="D404" s="4"/>
      <c r="E404" s="3">
        <f t="shared" si="6"/>
        <v>0</v>
      </c>
      <c r="F404" s="3" t="s">
        <v>13</v>
      </c>
      <c r="G404" s="3" t="s">
        <v>14</v>
      </c>
      <c r="H404" s="3" t="s">
        <v>15</v>
      </c>
    </row>
    <row r="405" spans="1:8" ht="12.75">
      <c r="A405" s="2">
        <v>45552</v>
      </c>
      <c r="B405" s="3" t="s">
        <v>11</v>
      </c>
      <c r="C405" s="3" t="s">
        <v>12</v>
      </c>
      <c r="D405" s="4"/>
      <c r="E405" s="3">
        <f t="shared" si="6"/>
        <v>0</v>
      </c>
      <c r="F405" s="3" t="s">
        <v>13</v>
      </c>
      <c r="G405" s="3" t="s">
        <v>14</v>
      </c>
      <c r="H405" s="3" t="s">
        <v>15</v>
      </c>
    </row>
    <row r="406" spans="1:8" ht="12.75">
      <c r="A406" s="2">
        <v>45553</v>
      </c>
      <c r="B406" s="3" t="s">
        <v>24</v>
      </c>
      <c r="C406" s="3" t="s">
        <v>216</v>
      </c>
      <c r="D406" s="4"/>
      <c r="E406" s="3">
        <f t="shared" si="6"/>
        <v>0</v>
      </c>
      <c r="F406" s="3" t="s">
        <v>26</v>
      </c>
      <c r="G406" s="3" t="s">
        <v>19</v>
      </c>
      <c r="H406" s="3" t="s">
        <v>15</v>
      </c>
    </row>
    <row r="407" spans="1:8" ht="12.75">
      <c r="A407" s="2">
        <v>45553</v>
      </c>
      <c r="B407" s="3" t="s">
        <v>11</v>
      </c>
      <c r="C407" s="3" t="s">
        <v>12</v>
      </c>
      <c r="D407" s="4"/>
      <c r="E407" s="3">
        <f t="shared" si="6"/>
        <v>0</v>
      </c>
      <c r="F407" s="3" t="s">
        <v>13</v>
      </c>
      <c r="G407" s="3" t="s">
        <v>14</v>
      </c>
      <c r="H407" s="3" t="s">
        <v>15</v>
      </c>
    </row>
    <row r="408" spans="1:8" ht="12.75">
      <c r="A408" s="2">
        <v>45554</v>
      </c>
      <c r="B408" s="3" t="s">
        <v>11</v>
      </c>
      <c r="C408" s="3" t="s">
        <v>12</v>
      </c>
      <c r="D408" s="4"/>
      <c r="E408" s="3">
        <f t="shared" si="6"/>
        <v>0</v>
      </c>
      <c r="F408" s="3" t="s">
        <v>13</v>
      </c>
      <c r="G408" s="3" t="s">
        <v>14</v>
      </c>
      <c r="H408" s="3" t="s">
        <v>15</v>
      </c>
    </row>
    <row r="409" spans="1:8" ht="12.75">
      <c r="A409" s="2">
        <v>45554</v>
      </c>
      <c r="B409" s="3" t="s">
        <v>33</v>
      </c>
      <c r="C409" s="3" t="s">
        <v>217</v>
      </c>
      <c r="D409" s="4"/>
      <c r="E409" s="3">
        <f t="shared" si="6"/>
        <v>0</v>
      </c>
      <c r="F409" s="3" t="s">
        <v>35</v>
      </c>
      <c r="G409" s="3" t="s">
        <v>36</v>
      </c>
      <c r="H409" s="3" t="s">
        <v>15</v>
      </c>
    </row>
    <row r="410" spans="1:8" ht="12.75">
      <c r="A410" s="2">
        <v>45554</v>
      </c>
      <c r="B410" s="3" t="s">
        <v>81</v>
      </c>
      <c r="C410" s="3" t="s">
        <v>218</v>
      </c>
      <c r="D410" s="4"/>
      <c r="E410" s="3">
        <f t="shared" si="6"/>
        <v>0</v>
      </c>
      <c r="F410" s="3" t="s">
        <v>39</v>
      </c>
      <c r="G410" s="3" t="s">
        <v>36</v>
      </c>
      <c r="H410" s="3" t="s">
        <v>15</v>
      </c>
    </row>
    <row r="411" spans="1:8" ht="12.75">
      <c r="A411" s="2">
        <v>45554</v>
      </c>
      <c r="B411" s="3" t="s">
        <v>40</v>
      </c>
      <c r="C411" s="3" t="s">
        <v>219</v>
      </c>
      <c r="D411" s="4"/>
      <c r="E411" s="3">
        <f t="shared" si="6"/>
        <v>0</v>
      </c>
      <c r="F411" s="3" t="s">
        <v>42</v>
      </c>
      <c r="G411" s="3" t="s">
        <v>14</v>
      </c>
      <c r="H411" s="3" t="s">
        <v>15</v>
      </c>
    </row>
    <row r="412" spans="1:8" ht="12.75">
      <c r="A412" s="2">
        <v>45555</v>
      </c>
      <c r="B412" s="3" t="s">
        <v>43</v>
      </c>
      <c r="C412" s="3" t="s">
        <v>220</v>
      </c>
      <c r="D412" s="4"/>
      <c r="E412" s="3">
        <f t="shared" si="6"/>
        <v>0</v>
      </c>
      <c r="F412" s="3" t="s">
        <v>45</v>
      </c>
      <c r="G412" s="3" t="s">
        <v>23</v>
      </c>
      <c r="H412" s="3" t="s">
        <v>15</v>
      </c>
    </row>
    <row r="413" spans="1:8" ht="12.75">
      <c r="A413" s="2">
        <v>45556</v>
      </c>
      <c r="B413" s="3" t="s">
        <v>46</v>
      </c>
      <c r="C413" s="4">
        <v>0</v>
      </c>
      <c r="D413" s="3" t="s">
        <v>167</v>
      </c>
      <c r="E413" s="3" t="str">
        <f t="shared" si="6"/>
        <v>₹2,400.00</v>
      </c>
      <c r="F413" s="3" t="s">
        <v>48</v>
      </c>
      <c r="G413" s="3" t="s">
        <v>49</v>
      </c>
      <c r="H413" s="3" t="s">
        <v>10</v>
      </c>
    </row>
    <row r="414" spans="1:8" ht="12.75">
      <c r="A414" s="2">
        <v>45556</v>
      </c>
      <c r="B414" s="3" t="s">
        <v>11</v>
      </c>
      <c r="C414" s="3" t="s">
        <v>12</v>
      </c>
      <c r="D414" s="4"/>
      <c r="E414" s="3">
        <f t="shared" si="6"/>
        <v>0</v>
      </c>
      <c r="F414" s="3" t="s">
        <v>13</v>
      </c>
      <c r="G414" s="3" t="s">
        <v>14</v>
      </c>
      <c r="H414" s="3" t="s">
        <v>15</v>
      </c>
    </row>
    <row r="415" spans="1:8" ht="12.75">
      <c r="A415" s="2">
        <v>45557</v>
      </c>
      <c r="B415" s="3" t="s">
        <v>11</v>
      </c>
      <c r="C415" s="3" t="s">
        <v>12</v>
      </c>
      <c r="D415" s="4"/>
      <c r="E415" s="3">
        <f t="shared" si="6"/>
        <v>0</v>
      </c>
      <c r="F415" s="3" t="s">
        <v>13</v>
      </c>
      <c r="G415" s="3" t="s">
        <v>14</v>
      </c>
      <c r="H415" s="3" t="s">
        <v>15</v>
      </c>
    </row>
    <row r="416" spans="1:8" ht="12.75">
      <c r="A416" s="2">
        <v>45557</v>
      </c>
      <c r="B416" s="3" t="s">
        <v>51</v>
      </c>
      <c r="C416" s="3" t="s">
        <v>34</v>
      </c>
      <c r="D416" s="4"/>
      <c r="E416" s="3">
        <f t="shared" si="6"/>
        <v>0</v>
      </c>
      <c r="F416" s="3" t="s">
        <v>51</v>
      </c>
      <c r="G416" s="3" t="s">
        <v>19</v>
      </c>
      <c r="H416" s="3" t="s">
        <v>15</v>
      </c>
    </row>
    <row r="417" spans="1:8" ht="12.75">
      <c r="A417" s="2">
        <v>45558</v>
      </c>
      <c r="B417" s="3" t="s">
        <v>52</v>
      </c>
      <c r="C417" s="3" t="s">
        <v>83</v>
      </c>
      <c r="D417" s="4"/>
      <c r="E417" s="3">
        <f t="shared" si="6"/>
        <v>0</v>
      </c>
      <c r="F417" s="3" t="s">
        <v>54</v>
      </c>
      <c r="G417" s="3" t="s">
        <v>36</v>
      </c>
      <c r="H417" s="3" t="s">
        <v>15</v>
      </c>
    </row>
    <row r="418" spans="1:8" ht="12.75">
      <c r="A418" s="2">
        <v>45558</v>
      </c>
      <c r="B418" s="3" t="s">
        <v>55</v>
      </c>
      <c r="C418" s="3" t="s">
        <v>87</v>
      </c>
      <c r="D418" s="4"/>
      <c r="E418" s="3">
        <f t="shared" si="6"/>
        <v>0</v>
      </c>
      <c r="F418" s="3" t="s">
        <v>35</v>
      </c>
      <c r="G418" s="3" t="s">
        <v>36</v>
      </c>
      <c r="H418" s="3" t="s">
        <v>15</v>
      </c>
    </row>
    <row r="419" spans="1:8" ht="12.75">
      <c r="A419" s="2">
        <v>45558</v>
      </c>
      <c r="B419" s="3" t="s">
        <v>11</v>
      </c>
      <c r="C419" s="3" t="s">
        <v>12</v>
      </c>
      <c r="D419" s="4"/>
      <c r="E419" s="3">
        <f t="shared" si="6"/>
        <v>0</v>
      </c>
      <c r="F419" s="3" t="s">
        <v>13</v>
      </c>
      <c r="G419" s="3" t="s">
        <v>14</v>
      </c>
      <c r="H419" s="3" t="s">
        <v>15</v>
      </c>
    </row>
    <row r="420" spans="1:8" ht="12.75">
      <c r="A420" s="2">
        <v>45559</v>
      </c>
      <c r="B420" s="3" t="s">
        <v>11</v>
      </c>
      <c r="C420" s="3" t="s">
        <v>12</v>
      </c>
      <c r="D420" s="4"/>
      <c r="E420" s="3">
        <f t="shared" si="6"/>
        <v>0</v>
      </c>
      <c r="F420" s="3" t="s">
        <v>13</v>
      </c>
      <c r="G420" s="3" t="s">
        <v>14</v>
      </c>
      <c r="H420" s="3" t="s">
        <v>15</v>
      </c>
    </row>
    <row r="421" spans="1:8" ht="12.75">
      <c r="A421" s="2">
        <v>45560</v>
      </c>
      <c r="B421" s="3" t="s">
        <v>11</v>
      </c>
      <c r="C421" s="3" t="s">
        <v>12</v>
      </c>
      <c r="D421" s="4"/>
      <c r="E421" s="3">
        <f t="shared" si="6"/>
        <v>0</v>
      </c>
      <c r="F421" s="3" t="s">
        <v>13</v>
      </c>
      <c r="G421" s="3" t="s">
        <v>14</v>
      </c>
      <c r="H421" s="3" t="s">
        <v>15</v>
      </c>
    </row>
    <row r="422" spans="1:8" ht="12.75">
      <c r="A422" s="2">
        <v>45560</v>
      </c>
      <c r="B422" s="3" t="s">
        <v>24</v>
      </c>
      <c r="C422" s="3" t="s">
        <v>221</v>
      </c>
      <c r="D422" s="4"/>
      <c r="E422" s="3">
        <f t="shared" si="6"/>
        <v>0</v>
      </c>
      <c r="F422" s="3" t="s">
        <v>26</v>
      </c>
      <c r="G422" s="3" t="s">
        <v>19</v>
      </c>
      <c r="H422" s="3" t="s">
        <v>15</v>
      </c>
    </row>
    <row r="423" spans="1:8" ht="12.75">
      <c r="A423" s="2">
        <v>45561</v>
      </c>
      <c r="B423" s="3" t="s">
        <v>58</v>
      </c>
      <c r="C423" s="3" t="s">
        <v>222</v>
      </c>
      <c r="D423" s="4"/>
      <c r="E423" s="3">
        <f t="shared" si="6"/>
        <v>0</v>
      </c>
      <c r="F423" s="3" t="s">
        <v>42</v>
      </c>
      <c r="G423" s="3" t="s">
        <v>14</v>
      </c>
      <c r="H423" s="3" t="s">
        <v>15</v>
      </c>
    </row>
    <row r="424" spans="1:8" ht="12.75">
      <c r="A424" s="2">
        <v>45562</v>
      </c>
      <c r="B424" s="3" t="s">
        <v>60</v>
      </c>
      <c r="C424" s="3" t="s">
        <v>223</v>
      </c>
      <c r="D424" s="4"/>
      <c r="E424" s="3">
        <f t="shared" si="6"/>
        <v>0</v>
      </c>
      <c r="F424" s="3" t="s">
        <v>42</v>
      </c>
      <c r="G424" s="3" t="s">
        <v>14</v>
      </c>
      <c r="H424" s="3" t="s">
        <v>15</v>
      </c>
    </row>
    <row r="425" spans="1:8" ht="12.75">
      <c r="A425" s="2">
        <v>45563</v>
      </c>
      <c r="B425" s="3" t="s">
        <v>62</v>
      </c>
      <c r="C425" s="3" t="s">
        <v>63</v>
      </c>
      <c r="D425" s="4"/>
      <c r="E425" s="3">
        <f t="shared" si="6"/>
        <v>0</v>
      </c>
      <c r="F425" s="3" t="s">
        <v>64</v>
      </c>
      <c r="G425" s="3" t="s">
        <v>65</v>
      </c>
      <c r="H425" s="3" t="s">
        <v>15</v>
      </c>
    </row>
    <row r="426" spans="1:8" ht="12.75">
      <c r="A426" s="2">
        <v>45563</v>
      </c>
      <c r="B426" s="3" t="s">
        <v>30</v>
      </c>
      <c r="C426" s="3" t="s">
        <v>224</v>
      </c>
      <c r="D426" s="4"/>
      <c r="E426" s="3">
        <f t="shared" si="6"/>
        <v>0</v>
      </c>
      <c r="F426" s="3" t="s">
        <v>67</v>
      </c>
      <c r="G426" s="3" t="s">
        <v>23</v>
      </c>
      <c r="H426" s="3" t="s">
        <v>15</v>
      </c>
    </row>
    <row r="427" spans="1:8" ht="12.75">
      <c r="A427" s="2">
        <v>45563</v>
      </c>
      <c r="B427" s="3" t="s">
        <v>11</v>
      </c>
      <c r="C427" s="3" t="s">
        <v>12</v>
      </c>
      <c r="D427" s="4"/>
      <c r="E427" s="3">
        <f t="shared" si="6"/>
        <v>0</v>
      </c>
      <c r="F427" s="3" t="s">
        <v>13</v>
      </c>
      <c r="G427" s="3" t="s">
        <v>14</v>
      </c>
      <c r="H427" s="3" t="s">
        <v>15</v>
      </c>
    </row>
    <row r="428" spans="1:8" ht="12.75">
      <c r="A428" s="2">
        <v>45564</v>
      </c>
      <c r="B428" s="3" t="s">
        <v>11</v>
      </c>
      <c r="C428" s="3" t="s">
        <v>12</v>
      </c>
      <c r="D428" s="4"/>
      <c r="E428" s="3">
        <f t="shared" si="6"/>
        <v>0</v>
      </c>
      <c r="F428" s="3" t="s">
        <v>13</v>
      </c>
      <c r="G428" s="3" t="s">
        <v>14</v>
      </c>
      <c r="H428" s="3" t="s">
        <v>15</v>
      </c>
    </row>
    <row r="429" spans="1:8" ht="12.75">
      <c r="A429" s="2">
        <v>45565</v>
      </c>
      <c r="B429" s="3" t="s">
        <v>11</v>
      </c>
      <c r="C429" s="3" t="s">
        <v>12</v>
      </c>
      <c r="D429" s="4"/>
      <c r="E429" s="3">
        <f t="shared" si="6"/>
        <v>0</v>
      </c>
      <c r="F429" s="3" t="s">
        <v>13</v>
      </c>
      <c r="G429" s="3" t="s">
        <v>14</v>
      </c>
      <c r="H429" s="3" t="s">
        <v>15</v>
      </c>
    </row>
    <row r="430" spans="1:8" ht="12.75">
      <c r="A430" s="2">
        <v>45566</v>
      </c>
      <c r="B430" s="3" t="s">
        <v>11</v>
      </c>
      <c r="C430" s="3" t="s">
        <v>12</v>
      </c>
      <c r="D430" s="4"/>
      <c r="E430" s="3">
        <f t="shared" si="6"/>
        <v>0</v>
      </c>
      <c r="F430" s="3" t="s">
        <v>13</v>
      </c>
      <c r="G430" s="3" t="s">
        <v>14</v>
      </c>
      <c r="H430" s="3" t="s">
        <v>15</v>
      </c>
    </row>
    <row r="431" spans="1:8" ht="12.75">
      <c r="A431" s="2">
        <v>45567</v>
      </c>
      <c r="B431" s="3" t="s">
        <v>11</v>
      </c>
      <c r="C431" s="3" t="s">
        <v>12</v>
      </c>
      <c r="D431" s="4"/>
      <c r="E431" s="3">
        <f t="shared" si="6"/>
        <v>0</v>
      </c>
      <c r="F431" s="3" t="s">
        <v>13</v>
      </c>
      <c r="G431" s="3" t="s">
        <v>14</v>
      </c>
      <c r="H431" s="3" t="s">
        <v>15</v>
      </c>
    </row>
    <row r="432" spans="1:8" ht="12.75">
      <c r="A432" s="2">
        <v>45567</v>
      </c>
      <c r="B432" s="3" t="s">
        <v>24</v>
      </c>
      <c r="C432" s="3" t="s">
        <v>225</v>
      </c>
      <c r="D432" s="4"/>
      <c r="E432" s="3">
        <f t="shared" si="6"/>
        <v>0</v>
      </c>
      <c r="F432" s="3" t="s">
        <v>26</v>
      </c>
      <c r="G432" s="3" t="s">
        <v>19</v>
      </c>
      <c r="H432" s="3" t="s">
        <v>15</v>
      </c>
    </row>
    <row r="433" spans="1:8" ht="12.75">
      <c r="A433" s="2">
        <v>45568</v>
      </c>
      <c r="B433" s="3" t="s">
        <v>69</v>
      </c>
      <c r="C433" s="3" t="s">
        <v>226</v>
      </c>
      <c r="D433" s="4"/>
      <c r="E433" s="3">
        <f t="shared" si="6"/>
        <v>0</v>
      </c>
      <c r="F433" s="3" t="s">
        <v>39</v>
      </c>
      <c r="G433" s="3" t="s">
        <v>36</v>
      </c>
      <c r="H433" s="3" t="s">
        <v>15</v>
      </c>
    </row>
    <row r="434" spans="1:8" ht="12.75">
      <c r="A434" s="2">
        <v>45568</v>
      </c>
      <c r="B434" s="3" t="s">
        <v>94</v>
      </c>
      <c r="C434" s="3" t="s">
        <v>72</v>
      </c>
      <c r="D434" s="4"/>
      <c r="E434" s="3">
        <f t="shared" si="6"/>
        <v>0</v>
      </c>
      <c r="F434" s="3" t="s">
        <v>39</v>
      </c>
      <c r="G434" s="3" t="s">
        <v>36</v>
      </c>
      <c r="H434" s="3" t="s">
        <v>15</v>
      </c>
    </row>
    <row r="435" spans="1:8" ht="12.75">
      <c r="A435" s="2">
        <v>45569</v>
      </c>
      <c r="B435" s="3" t="s">
        <v>37</v>
      </c>
      <c r="C435" s="3" t="s">
        <v>227</v>
      </c>
      <c r="D435" s="4"/>
      <c r="E435" s="3">
        <f t="shared" si="6"/>
        <v>0</v>
      </c>
      <c r="F435" s="3" t="s">
        <v>39</v>
      </c>
      <c r="G435" s="3" t="s">
        <v>36</v>
      </c>
      <c r="H435" s="3" t="s">
        <v>15</v>
      </c>
    </row>
    <row r="436" spans="1:8" ht="12.75">
      <c r="A436" s="2">
        <v>45569</v>
      </c>
      <c r="B436" s="3" t="s">
        <v>43</v>
      </c>
      <c r="C436" s="3" t="s">
        <v>228</v>
      </c>
      <c r="D436" s="4"/>
      <c r="E436" s="3">
        <f t="shared" si="6"/>
        <v>0</v>
      </c>
      <c r="F436" s="3" t="s">
        <v>45</v>
      </c>
      <c r="G436" s="3" t="s">
        <v>23</v>
      </c>
      <c r="H436" s="3" t="s">
        <v>15</v>
      </c>
    </row>
    <row r="437" spans="1:8" ht="12.75">
      <c r="A437" s="2">
        <v>45569</v>
      </c>
      <c r="B437" s="3" t="s">
        <v>121</v>
      </c>
      <c r="C437" s="3" t="s">
        <v>122</v>
      </c>
      <c r="D437" s="4"/>
      <c r="E437" s="3">
        <f t="shared" si="6"/>
        <v>0</v>
      </c>
      <c r="F437" s="3" t="s">
        <v>42</v>
      </c>
      <c r="G437" s="3" t="s">
        <v>14</v>
      </c>
      <c r="H437" s="3" t="s">
        <v>15</v>
      </c>
    </row>
    <row r="438" spans="1:8" ht="12.75">
      <c r="A438" s="2">
        <v>45570</v>
      </c>
      <c r="B438" s="3" t="s">
        <v>11</v>
      </c>
      <c r="C438" s="3" t="s">
        <v>12</v>
      </c>
      <c r="D438" s="4"/>
      <c r="E438" s="3">
        <f t="shared" si="6"/>
        <v>0</v>
      </c>
      <c r="F438" s="3" t="s">
        <v>13</v>
      </c>
      <c r="G438" s="3" t="s">
        <v>14</v>
      </c>
      <c r="H438" s="3" t="s">
        <v>15</v>
      </c>
    </row>
    <row r="439" spans="1:8" ht="12.75">
      <c r="A439" s="2">
        <v>45572</v>
      </c>
      <c r="B439" s="3" t="s">
        <v>11</v>
      </c>
      <c r="C439" s="3" t="s">
        <v>12</v>
      </c>
      <c r="D439" s="4"/>
      <c r="E439" s="3">
        <f t="shared" si="6"/>
        <v>0</v>
      </c>
      <c r="F439" s="3" t="s">
        <v>13</v>
      </c>
      <c r="G439" s="3" t="s">
        <v>14</v>
      </c>
      <c r="H439" s="3" t="s">
        <v>15</v>
      </c>
    </row>
    <row r="440" spans="1:8" ht="12.75">
      <c r="A440" s="2">
        <v>45572</v>
      </c>
      <c r="B440" s="3" t="s">
        <v>7</v>
      </c>
      <c r="C440" s="4">
        <v>0</v>
      </c>
      <c r="D440" s="3" t="s">
        <v>8</v>
      </c>
      <c r="E440" s="3" t="str">
        <f t="shared" si="6"/>
        <v>₹120,000.00</v>
      </c>
      <c r="F440" s="3" t="s">
        <v>75</v>
      </c>
      <c r="G440" s="3" t="s">
        <v>9</v>
      </c>
      <c r="H440" s="3" t="s">
        <v>10</v>
      </c>
    </row>
    <row r="441" spans="1:8" ht="12.75">
      <c r="A441" s="2">
        <v>45573</v>
      </c>
      <c r="B441" s="3" t="s">
        <v>11</v>
      </c>
      <c r="C441" s="3" t="s">
        <v>12</v>
      </c>
      <c r="D441" s="4"/>
      <c r="E441" s="3">
        <f t="shared" si="6"/>
        <v>0</v>
      </c>
      <c r="F441" s="3" t="s">
        <v>13</v>
      </c>
      <c r="G441" s="3" t="s">
        <v>14</v>
      </c>
      <c r="H441" s="3" t="s">
        <v>15</v>
      </c>
    </row>
    <row r="442" spans="1:8" ht="12.75">
      <c r="A442" s="2">
        <v>45575</v>
      </c>
      <c r="B442" s="3" t="s">
        <v>16</v>
      </c>
      <c r="C442" s="3" t="s">
        <v>17</v>
      </c>
      <c r="D442" s="4"/>
      <c r="E442" s="3">
        <f t="shared" si="6"/>
        <v>0</v>
      </c>
      <c r="F442" s="3" t="s">
        <v>18</v>
      </c>
      <c r="G442" s="3" t="s">
        <v>19</v>
      </c>
      <c r="H442" s="3" t="s">
        <v>15</v>
      </c>
    </row>
    <row r="443" spans="1:8" ht="12.75">
      <c r="A443" s="2">
        <v>45575</v>
      </c>
      <c r="B443" s="3" t="s">
        <v>20</v>
      </c>
      <c r="C443" s="3" t="s">
        <v>21</v>
      </c>
      <c r="D443" s="4"/>
      <c r="E443" s="3">
        <f t="shared" si="6"/>
        <v>0</v>
      </c>
      <c r="F443" s="3" t="s">
        <v>22</v>
      </c>
      <c r="G443" s="3" t="s">
        <v>23</v>
      </c>
      <c r="H443" s="3" t="s">
        <v>15</v>
      </c>
    </row>
    <row r="444" spans="1:8" ht="12.75">
      <c r="A444" s="2">
        <v>45575</v>
      </c>
      <c r="B444" s="3" t="s">
        <v>11</v>
      </c>
      <c r="C444" s="3" t="s">
        <v>12</v>
      </c>
      <c r="D444" s="4"/>
      <c r="E444" s="3">
        <f t="shared" si="6"/>
        <v>0</v>
      </c>
      <c r="F444" s="3" t="s">
        <v>13</v>
      </c>
      <c r="G444" s="3" t="s">
        <v>14</v>
      </c>
      <c r="H444" s="3" t="s">
        <v>15</v>
      </c>
    </row>
    <row r="445" spans="1:8" ht="12.75">
      <c r="A445" s="2">
        <v>45575</v>
      </c>
      <c r="B445" s="3" t="s">
        <v>11</v>
      </c>
      <c r="C445" s="3" t="s">
        <v>12</v>
      </c>
      <c r="D445" s="4"/>
      <c r="E445" s="3">
        <f t="shared" si="6"/>
        <v>0</v>
      </c>
      <c r="F445" s="3" t="s">
        <v>13</v>
      </c>
      <c r="G445" s="3" t="s">
        <v>14</v>
      </c>
      <c r="H445" s="3" t="s">
        <v>15</v>
      </c>
    </row>
    <row r="446" spans="1:8" ht="12.75">
      <c r="A446" s="2">
        <v>45576</v>
      </c>
      <c r="B446" s="3" t="s">
        <v>11</v>
      </c>
      <c r="C446" s="3" t="s">
        <v>12</v>
      </c>
      <c r="D446" s="4"/>
      <c r="E446" s="3">
        <f t="shared" si="6"/>
        <v>0</v>
      </c>
      <c r="F446" s="3" t="s">
        <v>13</v>
      </c>
      <c r="G446" s="3" t="s">
        <v>14</v>
      </c>
      <c r="H446" s="3" t="s">
        <v>15</v>
      </c>
    </row>
    <row r="447" spans="1:8" ht="12.75">
      <c r="A447" s="2">
        <v>45577</v>
      </c>
      <c r="B447" s="3" t="s">
        <v>11</v>
      </c>
      <c r="C447" s="3" t="s">
        <v>12</v>
      </c>
      <c r="D447" s="4"/>
      <c r="E447" s="3">
        <f t="shared" si="6"/>
        <v>0</v>
      </c>
      <c r="F447" s="3" t="s">
        <v>13</v>
      </c>
      <c r="G447" s="3" t="s">
        <v>14</v>
      </c>
      <c r="H447" s="3" t="s">
        <v>15</v>
      </c>
    </row>
    <row r="448" spans="1:8" ht="12.75">
      <c r="A448" s="2">
        <v>45577</v>
      </c>
      <c r="B448" s="3" t="s">
        <v>24</v>
      </c>
      <c r="C448" s="3" t="s">
        <v>229</v>
      </c>
      <c r="D448" s="4"/>
      <c r="E448" s="3">
        <f t="shared" si="6"/>
        <v>0</v>
      </c>
      <c r="F448" s="3" t="s">
        <v>26</v>
      </c>
      <c r="G448" s="3" t="s">
        <v>19</v>
      </c>
      <c r="H448" s="3" t="s">
        <v>15</v>
      </c>
    </row>
    <row r="449" spans="1:8" ht="12.75">
      <c r="A449" s="2">
        <v>45580</v>
      </c>
      <c r="B449" s="3" t="s">
        <v>27</v>
      </c>
      <c r="C449" s="3" t="s">
        <v>230</v>
      </c>
      <c r="D449" s="4"/>
      <c r="E449" s="3">
        <f t="shared" si="6"/>
        <v>0</v>
      </c>
      <c r="F449" s="3" t="s">
        <v>29</v>
      </c>
      <c r="G449" s="3" t="s">
        <v>19</v>
      </c>
      <c r="H449" s="3" t="s">
        <v>15</v>
      </c>
    </row>
    <row r="450" spans="1:8" ht="12.75">
      <c r="A450" s="2">
        <v>45580</v>
      </c>
      <c r="B450" s="3" t="s">
        <v>11</v>
      </c>
      <c r="C450" s="3" t="s">
        <v>12</v>
      </c>
      <c r="D450" s="4"/>
      <c r="E450" s="3">
        <f t="shared" si="6"/>
        <v>0</v>
      </c>
      <c r="F450" s="3" t="s">
        <v>13</v>
      </c>
      <c r="G450" s="3" t="s">
        <v>14</v>
      </c>
      <c r="H450" s="3" t="s">
        <v>15</v>
      </c>
    </row>
    <row r="451" spans="1:8" ht="12.75">
      <c r="A451" s="2">
        <v>45581</v>
      </c>
      <c r="B451" s="3" t="s">
        <v>11</v>
      </c>
      <c r="C451" s="3" t="s">
        <v>12</v>
      </c>
      <c r="D451" s="4"/>
      <c r="E451" s="3">
        <f t="shared" ref="E451:E487" si="7">IF(D451="",0,D451)</f>
        <v>0</v>
      </c>
      <c r="F451" s="3" t="s">
        <v>13</v>
      </c>
      <c r="G451" s="3" t="s">
        <v>14</v>
      </c>
      <c r="H451" s="3" t="s">
        <v>15</v>
      </c>
    </row>
    <row r="452" spans="1:8" ht="12.75">
      <c r="A452" s="2">
        <v>45582</v>
      </c>
      <c r="B452" s="3" t="s">
        <v>30</v>
      </c>
      <c r="C452" s="3" t="s">
        <v>231</v>
      </c>
      <c r="D452" s="4"/>
      <c r="E452" s="3">
        <f t="shared" si="7"/>
        <v>0</v>
      </c>
      <c r="F452" s="3" t="s">
        <v>67</v>
      </c>
      <c r="G452" s="3" t="s">
        <v>23</v>
      </c>
      <c r="H452" s="3" t="s">
        <v>15</v>
      </c>
    </row>
    <row r="453" spans="1:8" ht="12.75">
      <c r="A453" s="2">
        <v>45582</v>
      </c>
      <c r="B453" s="3" t="s">
        <v>11</v>
      </c>
      <c r="C453" s="3" t="s">
        <v>12</v>
      </c>
      <c r="D453" s="4"/>
      <c r="E453" s="3">
        <f t="shared" si="7"/>
        <v>0</v>
      </c>
      <c r="F453" s="3" t="s">
        <v>13</v>
      </c>
      <c r="G453" s="3" t="s">
        <v>14</v>
      </c>
      <c r="H453" s="3" t="s">
        <v>15</v>
      </c>
    </row>
    <row r="454" spans="1:8" ht="12.75">
      <c r="A454" s="2">
        <v>45583</v>
      </c>
      <c r="B454" s="3" t="s">
        <v>11</v>
      </c>
      <c r="C454" s="3" t="s">
        <v>12</v>
      </c>
      <c r="D454" s="4"/>
      <c r="E454" s="3">
        <f t="shared" si="7"/>
        <v>0</v>
      </c>
      <c r="F454" s="3" t="s">
        <v>13</v>
      </c>
      <c r="G454" s="3" t="s">
        <v>14</v>
      </c>
      <c r="H454" s="3" t="s">
        <v>15</v>
      </c>
    </row>
    <row r="455" spans="1:8" ht="12.75">
      <c r="A455" s="2">
        <v>45584</v>
      </c>
      <c r="B455" s="3" t="s">
        <v>24</v>
      </c>
      <c r="C455" s="3" t="s">
        <v>232</v>
      </c>
      <c r="D455" s="4"/>
      <c r="E455" s="3">
        <f t="shared" si="7"/>
        <v>0</v>
      </c>
      <c r="F455" s="3" t="s">
        <v>26</v>
      </c>
      <c r="G455" s="3" t="s">
        <v>19</v>
      </c>
      <c r="H455" s="3" t="s">
        <v>15</v>
      </c>
    </row>
    <row r="456" spans="1:8" ht="12.75">
      <c r="A456" s="2">
        <v>45584</v>
      </c>
      <c r="B456" s="3" t="s">
        <v>11</v>
      </c>
      <c r="C456" s="3" t="s">
        <v>12</v>
      </c>
      <c r="D456" s="4"/>
      <c r="E456" s="3">
        <f t="shared" si="7"/>
        <v>0</v>
      </c>
      <c r="F456" s="3" t="s">
        <v>13</v>
      </c>
      <c r="G456" s="3" t="s">
        <v>14</v>
      </c>
      <c r="H456" s="3" t="s">
        <v>15</v>
      </c>
    </row>
    <row r="457" spans="1:8" ht="12.75">
      <c r="A457" s="2">
        <v>45585</v>
      </c>
      <c r="B457" s="3" t="s">
        <v>11</v>
      </c>
      <c r="C457" s="3" t="s">
        <v>12</v>
      </c>
      <c r="D457" s="4"/>
      <c r="E457" s="3">
        <f t="shared" si="7"/>
        <v>0</v>
      </c>
      <c r="F457" s="3" t="s">
        <v>13</v>
      </c>
      <c r="G457" s="3" t="s">
        <v>14</v>
      </c>
      <c r="H457" s="3" t="s">
        <v>15</v>
      </c>
    </row>
    <row r="458" spans="1:8" ht="12.75">
      <c r="A458" s="2">
        <v>45585</v>
      </c>
      <c r="B458" s="3" t="s">
        <v>33</v>
      </c>
      <c r="C458" s="3" t="s">
        <v>233</v>
      </c>
      <c r="D458" s="4"/>
      <c r="E458" s="3">
        <f t="shared" si="7"/>
        <v>0</v>
      </c>
      <c r="F458" s="3" t="s">
        <v>35</v>
      </c>
      <c r="G458" s="3" t="s">
        <v>36</v>
      </c>
      <c r="H458" s="3" t="s">
        <v>15</v>
      </c>
    </row>
    <row r="459" spans="1:8" ht="12.75">
      <c r="A459" s="2">
        <v>45585</v>
      </c>
      <c r="B459" s="3" t="s">
        <v>81</v>
      </c>
      <c r="C459" s="3" t="s">
        <v>234</v>
      </c>
      <c r="D459" s="4"/>
      <c r="E459" s="3">
        <f t="shared" si="7"/>
        <v>0</v>
      </c>
      <c r="F459" s="3" t="s">
        <v>39</v>
      </c>
      <c r="G459" s="3" t="s">
        <v>36</v>
      </c>
      <c r="H459" s="3" t="s">
        <v>15</v>
      </c>
    </row>
    <row r="460" spans="1:8" ht="12.75">
      <c r="A460" s="2">
        <v>45585</v>
      </c>
      <c r="B460" s="3" t="s">
        <v>40</v>
      </c>
      <c r="C460" s="3" t="s">
        <v>235</v>
      </c>
      <c r="D460" s="4"/>
      <c r="E460" s="3">
        <f t="shared" si="7"/>
        <v>0</v>
      </c>
      <c r="F460" s="3" t="s">
        <v>42</v>
      </c>
      <c r="G460" s="3" t="s">
        <v>14</v>
      </c>
      <c r="H460" s="3" t="s">
        <v>15</v>
      </c>
    </row>
    <row r="461" spans="1:8" ht="12.75">
      <c r="A461" s="2">
        <v>45586</v>
      </c>
      <c r="B461" s="3" t="s">
        <v>43</v>
      </c>
      <c r="C461" s="3" t="s">
        <v>236</v>
      </c>
      <c r="D461" s="4"/>
      <c r="E461" s="3">
        <f t="shared" si="7"/>
        <v>0</v>
      </c>
      <c r="F461" s="3" t="s">
        <v>45</v>
      </c>
      <c r="G461" s="3" t="s">
        <v>23</v>
      </c>
      <c r="H461" s="3" t="s">
        <v>15</v>
      </c>
    </row>
    <row r="462" spans="1:8" ht="12.75">
      <c r="A462" s="2">
        <v>45587</v>
      </c>
      <c r="B462" s="3" t="s">
        <v>46</v>
      </c>
      <c r="C462" s="4">
        <v>0</v>
      </c>
      <c r="D462" s="3" t="s">
        <v>167</v>
      </c>
      <c r="E462" s="3" t="str">
        <f t="shared" si="7"/>
        <v>₹2,400.00</v>
      </c>
      <c r="F462" s="3" t="s">
        <v>48</v>
      </c>
      <c r="G462" s="3" t="s">
        <v>49</v>
      </c>
      <c r="H462" s="3" t="s">
        <v>10</v>
      </c>
    </row>
    <row r="463" spans="1:8" ht="12.75">
      <c r="A463" s="2">
        <v>45587</v>
      </c>
      <c r="B463" s="3" t="s">
        <v>11</v>
      </c>
      <c r="C463" s="3" t="s">
        <v>12</v>
      </c>
      <c r="D463" s="4"/>
      <c r="E463" s="3">
        <f t="shared" si="7"/>
        <v>0</v>
      </c>
      <c r="F463" s="3" t="s">
        <v>13</v>
      </c>
      <c r="G463" s="3" t="s">
        <v>14</v>
      </c>
      <c r="H463" s="3" t="s">
        <v>15</v>
      </c>
    </row>
    <row r="464" spans="1:8" ht="12.75">
      <c r="A464" s="2">
        <v>45588</v>
      </c>
      <c r="B464" s="3" t="s">
        <v>11</v>
      </c>
      <c r="C464" s="3" t="s">
        <v>12</v>
      </c>
      <c r="D464" s="4"/>
      <c r="E464" s="3">
        <f t="shared" si="7"/>
        <v>0</v>
      </c>
      <c r="F464" s="3" t="s">
        <v>13</v>
      </c>
      <c r="G464" s="3" t="s">
        <v>14</v>
      </c>
      <c r="H464" s="3" t="s">
        <v>15</v>
      </c>
    </row>
    <row r="465" spans="1:8" ht="12.75">
      <c r="A465" s="2">
        <v>45588</v>
      </c>
      <c r="B465" s="3" t="s">
        <v>106</v>
      </c>
      <c r="C465" s="3" t="s">
        <v>107</v>
      </c>
      <c r="D465" s="4"/>
      <c r="E465" s="3">
        <f t="shared" si="7"/>
        <v>0</v>
      </c>
      <c r="F465" s="3" t="s">
        <v>108</v>
      </c>
      <c r="G465" s="3" t="s">
        <v>109</v>
      </c>
      <c r="H465" s="3" t="s">
        <v>15</v>
      </c>
    </row>
    <row r="466" spans="1:8" ht="12.75">
      <c r="A466" s="2">
        <v>45588</v>
      </c>
      <c r="B466" s="3" t="s">
        <v>51</v>
      </c>
      <c r="C466" s="3" t="s">
        <v>34</v>
      </c>
      <c r="D466" s="4"/>
      <c r="E466" s="3">
        <f t="shared" si="7"/>
        <v>0</v>
      </c>
      <c r="F466" s="3" t="s">
        <v>51</v>
      </c>
      <c r="G466" s="3" t="s">
        <v>19</v>
      </c>
      <c r="H466" s="3" t="s">
        <v>15</v>
      </c>
    </row>
    <row r="467" spans="1:8" ht="12.75">
      <c r="A467" s="2">
        <v>45589</v>
      </c>
      <c r="B467" s="3" t="s">
        <v>52</v>
      </c>
      <c r="C467" s="3" t="s">
        <v>142</v>
      </c>
      <c r="D467" s="4"/>
      <c r="E467" s="3">
        <f t="shared" si="7"/>
        <v>0</v>
      </c>
      <c r="F467" s="3" t="s">
        <v>54</v>
      </c>
      <c r="G467" s="3" t="s">
        <v>36</v>
      </c>
      <c r="H467" s="3" t="s">
        <v>15</v>
      </c>
    </row>
    <row r="468" spans="1:8" ht="12.75">
      <c r="A468" s="2">
        <v>45589</v>
      </c>
      <c r="B468" s="3" t="s">
        <v>55</v>
      </c>
      <c r="C468" s="3" t="s">
        <v>87</v>
      </c>
      <c r="D468" s="4"/>
      <c r="E468" s="3">
        <f t="shared" si="7"/>
        <v>0</v>
      </c>
      <c r="F468" s="3" t="s">
        <v>35</v>
      </c>
      <c r="G468" s="3" t="s">
        <v>36</v>
      </c>
      <c r="H468" s="3" t="s">
        <v>15</v>
      </c>
    </row>
    <row r="469" spans="1:8" ht="12.75">
      <c r="A469" s="2">
        <v>45589</v>
      </c>
      <c r="B469" s="3" t="s">
        <v>11</v>
      </c>
      <c r="C469" s="3" t="s">
        <v>12</v>
      </c>
      <c r="D469" s="4"/>
      <c r="E469" s="3">
        <f t="shared" si="7"/>
        <v>0</v>
      </c>
      <c r="F469" s="3" t="s">
        <v>13</v>
      </c>
      <c r="G469" s="3" t="s">
        <v>14</v>
      </c>
      <c r="H469" s="3" t="s">
        <v>15</v>
      </c>
    </row>
    <row r="470" spans="1:8" ht="12.75">
      <c r="A470" s="2">
        <v>45590</v>
      </c>
      <c r="B470" s="3" t="s">
        <v>11</v>
      </c>
      <c r="C470" s="3" t="s">
        <v>12</v>
      </c>
      <c r="D470" s="4"/>
      <c r="E470" s="3">
        <f t="shared" si="7"/>
        <v>0</v>
      </c>
      <c r="F470" s="3" t="s">
        <v>13</v>
      </c>
      <c r="G470" s="3" t="s">
        <v>14</v>
      </c>
      <c r="H470" s="3" t="s">
        <v>15</v>
      </c>
    </row>
    <row r="471" spans="1:8" ht="12.75">
      <c r="A471" s="2">
        <v>45591</v>
      </c>
      <c r="B471" s="3" t="s">
        <v>11</v>
      </c>
      <c r="C471" s="3" t="s">
        <v>12</v>
      </c>
      <c r="D471" s="4"/>
      <c r="E471" s="3">
        <f t="shared" si="7"/>
        <v>0</v>
      </c>
      <c r="F471" s="3" t="s">
        <v>13</v>
      </c>
      <c r="G471" s="3" t="s">
        <v>14</v>
      </c>
      <c r="H471" s="3" t="s">
        <v>15</v>
      </c>
    </row>
    <row r="472" spans="1:8" ht="12.75">
      <c r="A472" s="2">
        <v>45591</v>
      </c>
      <c r="B472" s="3" t="s">
        <v>24</v>
      </c>
      <c r="C472" s="3" t="s">
        <v>237</v>
      </c>
      <c r="D472" s="4"/>
      <c r="E472" s="3">
        <f t="shared" si="7"/>
        <v>0</v>
      </c>
      <c r="F472" s="3" t="s">
        <v>26</v>
      </c>
      <c r="G472" s="3" t="s">
        <v>19</v>
      </c>
      <c r="H472" s="3" t="s">
        <v>15</v>
      </c>
    </row>
    <row r="473" spans="1:8" ht="12.75">
      <c r="A473" s="2">
        <v>45592</v>
      </c>
      <c r="B473" s="3" t="s">
        <v>58</v>
      </c>
      <c r="C473" s="3" t="s">
        <v>238</v>
      </c>
      <c r="D473" s="4"/>
      <c r="E473" s="3">
        <f t="shared" si="7"/>
        <v>0</v>
      </c>
      <c r="F473" s="3" t="s">
        <v>42</v>
      </c>
      <c r="G473" s="3" t="s">
        <v>14</v>
      </c>
      <c r="H473" s="3" t="s">
        <v>15</v>
      </c>
    </row>
    <row r="474" spans="1:8" ht="12.75">
      <c r="A474" s="2">
        <v>45593</v>
      </c>
      <c r="B474" s="3" t="s">
        <v>60</v>
      </c>
      <c r="C474" s="3" t="s">
        <v>239</v>
      </c>
      <c r="D474" s="4"/>
      <c r="E474" s="3">
        <f t="shared" si="7"/>
        <v>0</v>
      </c>
      <c r="F474" s="3" t="s">
        <v>42</v>
      </c>
      <c r="G474" s="3" t="s">
        <v>14</v>
      </c>
      <c r="H474" s="3" t="s">
        <v>15</v>
      </c>
    </row>
    <row r="475" spans="1:8" ht="12.75">
      <c r="A475" s="2">
        <v>45594</v>
      </c>
      <c r="B475" s="3" t="s">
        <v>62</v>
      </c>
      <c r="C475" s="3" t="s">
        <v>63</v>
      </c>
      <c r="D475" s="4"/>
      <c r="E475" s="3">
        <f t="shared" si="7"/>
        <v>0</v>
      </c>
      <c r="F475" s="3" t="s">
        <v>64</v>
      </c>
      <c r="G475" s="3" t="s">
        <v>65</v>
      </c>
      <c r="H475" s="3" t="s">
        <v>15</v>
      </c>
    </row>
    <row r="476" spans="1:8" ht="12.75">
      <c r="A476" s="2">
        <v>45594</v>
      </c>
      <c r="B476" s="3" t="s">
        <v>30</v>
      </c>
      <c r="C476" s="3" t="s">
        <v>240</v>
      </c>
      <c r="D476" s="4"/>
      <c r="E476" s="3">
        <f t="shared" si="7"/>
        <v>0</v>
      </c>
      <c r="F476" s="3" t="s">
        <v>67</v>
      </c>
      <c r="G476" s="3" t="s">
        <v>23</v>
      </c>
      <c r="H476" s="3" t="s">
        <v>15</v>
      </c>
    </row>
    <row r="477" spans="1:8" ht="12.75">
      <c r="A477" s="2">
        <v>45594</v>
      </c>
      <c r="B477" s="3" t="s">
        <v>11</v>
      </c>
      <c r="C477" s="3" t="s">
        <v>12</v>
      </c>
      <c r="D477" s="4"/>
      <c r="E477" s="3">
        <f t="shared" si="7"/>
        <v>0</v>
      </c>
      <c r="F477" s="3" t="s">
        <v>13</v>
      </c>
      <c r="G477" s="3" t="s">
        <v>14</v>
      </c>
      <c r="H477" s="3" t="s">
        <v>15</v>
      </c>
    </row>
    <row r="478" spans="1:8" ht="12.75">
      <c r="A478" s="2">
        <v>45595</v>
      </c>
      <c r="B478" s="3" t="s">
        <v>11</v>
      </c>
      <c r="C478" s="3" t="s">
        <v>12</v>
      </c>
      <c r="D478" s="4"/>
      <c r="E478" s="3">
        <f t="shared" si="7"/>
        <v>0</v>
      </c>
      <c r="F478" s="3" t="s">
        <v>13</v>
      </c>
      <c r="G478" s="3" t="s">
        <v>14</v>
      </c>
      <c r="H478" s="3" t="s">
        <v>15</v>
      </c>
    </row>
    <row r="479" spans="1:8" ht="12.75">
      <c r="A479" s="2">
        <v>45596</v>
      </c>
      <c r="B479" s="3" t="s">
        <v>11</v>
      </c>
      <c r="C479" s="3" t="s">
        <v>12</v>
      </c>
      <c r="D479" s="4"/>
      <c r="E479" s="3">
        <f t="shared" si="7"/>
        <v>0</v>
      </c>
      <c r="F479" s="3" t="s">
        <v>13</v>
      </c>
      <c r="G479" s="3" t="s">
        <v>14</v>
      </c>
      <c r="H479" s="3" t="s">
        <v>15</v>
      </c>
    </row>
    <row r="480" spans="1:8" ht="12.75">
      <c r="A480" s="2">
        <v>45597</v>
      </c>
      <c r="B480" s="3" t="s">
        <v>11</v>
      </c>
      <c r="C480" s="3" t="s">
        <v>12</v>
      </c>
      <c r="D480" s="4"/>
      <c r="E480" s="3">
        <f t="shared" si="7"/>
        <v>0</v>
      </c>
      <c r="F480" s="3" t="s">
        <v>13</v>
      </c>
      <c r="G480" s="3" t="s">
        <v>14</v>
      </c>
      <c r="H480" s="3" t="s">
        <v>15</v>
      </c>
    </row>
    <row r="481" spans="1:8" ht="12.75">
      <c r="A481" s="2">
        <v>45598</v>
      </c>
      <c r="B481" s="3" t="s">
        <v>11</v>
      </c>
      <c r="C481" s="3" t="s">
        <v>12</v>
      </c>
      <c r="D481" s="4"/>
      <c r="E481" s="3">
        <f t="shared" si="7"/>
        <v>0</v>
      </c>
      <c r="F481" s="3" t="s">
        <v>13</v>
      </c>
      <c r="G481" s="3" t="s">
        <v>14</v>
      </c>
      <c r="H481" s="3" t="s">
        <v>15</v>
      </c>
    </row>
    <row r="482" spans="1:8" ht="12.75">
      <c r="A482" s="2">
        <v>45598</v>
      </c>
      <c r="B482" s="3" t="s">
        <v>24</v>
      </c>
      <c r="C482" s="3" t="s">
        <v>241</v>
      </c>
      <c r="D482" s="4"/>
      <c r="E482" s="3">
        <f t="shared" si="7"/>
        <v>0</v>
      </c>
      <c r="F482" s="3" t="s">
        <v>26</v>
      </c>
      <c r="G482" s="3" t="s">
        <v>19</v>
      </c>
      <c r="H482" s="3" t="s">
        <v>15</v>
      </c>
    </row>
    <row r="483" spans="1:8" ht="12.75">
      <c r="A483" s="2">
        <v>45599</v>
      </c>
      <c r="B483" s="3" t="s">
        <v>69</v>
      </c>
      <c r="C483" s="3" t="s">
        <v>242</v>
      </c>
      <c r="D483" s="4"/>
      <c r="E483" s="3">
        <f t="shared" si="7"/>
        <v>0</v>
      </c>
      <c r="F483" s="3" t="s">
        <v>39</v>
      </c>
      <c r="G483" s="3" t="s">
        <v>36</v>
      </c>
      <c r="H483" s="3" t="s">
        <v>15</v>
      </c>
    </row>
    <row r="484" spans="1:8" ht="12.75">
      <c r="A484" s="2">
        <v>45599</v>
      </c>
      <c r="B484" s="3" t="s">
        <v>71</v>
      </c>
      <c r="C484" s="3" t="s">
        <v>243</v>
      </c>
      <c r="D484" s="4"/>
      <c r="E484" s="3">
        <f t="shared" si="7"/>
        <v>0</v>
      </c>
      <c r="F484" s="3" t="s">
        <v>35</v>
      </c>
      <c r="G484" s="3" t="s">
        <v>36</v>
      </c>
      <c r="H484" s="3" t="s">
        <v>15</v>
      </c>
    </row>
    <row r="485" spans="1:8" ht="12.75">
      <c r="A485" s="2">
        <v>45600</v>
      </c>
      <c r="B485" s="3" t="s">
        <v>244</v>
      </c>
      <c r="C485" s="3" t="s">
        <v>245</v>
      </c>
      <c r="D485" s="4"/>
      <c r="E485" s="3">
        <f t="shared" si="7"/>
        <v>0</v>
      </c>
      <c r="F485" s="3" t="s">
        <v>39</v>
      </c>
      <c r="G485" s="3" t="s">
        <v>36</v>
      </c>
      <c r="H485" s="3" t="s">
        <v>15</v>
      </c>
    </row>
    <row r="486" spans="1:8" ht="12.75">
      <c r="A486" s="2">
        <v>45600</v>
      </c>
      <c r="B486" s="3" t="s">
        <v>43</v>
      </c>
      <c r="C486" s="3" t="s">
        <v>246</v>
      </c>
      <c r="D486" s="4"/>
      <c r="E486" s="3">
        <f t="shared" si="7"/>
        <v>0</v>
      </c>
      <c r="F486" s="3" t="s">
        <v>45</v>
      </c>
      <c r="G486" s="3" t="s">
        <v>23</v>
      </c>
      <c r="H486" s="3" t="s">
        <v>15</v>
      </c>
    </row>
    <row r="487" spans="1:8" ht="12.75">
      <c r="A487" s="2">
        <v>45600</v>
      </c>
      <c r="B487" s="3" t="s">
        <v>121</v>
      </c>
      <c r="C487" s="3" t="s">
        <v>122</v>
      </c>
      <c r="D487" s="4"/>
      <c r="E487" s="3">
        <f t="shared" si="7"/>
        <v>0</v>
      </c>
      <c r="F487" s="3" t="s">
        <v>42</v>
      </c>
      <c r="G487" s="3" t="s">
        <v>14</v>
      </c>
      <c r="H487" s="3" t="s">
        <v>15</v>
      </c>
    </row>
  </sheetData>
  <autoFilter ref="A1:H487" xr:uid="{00000000-0001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FA4B-6441-48C1-8D84-44361BF54CC5}">
  <dimension ref="A1:Y487"/>
  <sheetViews>
    <sheetView workbookViewId="0">
      <selection activeCell="K10" sqref="K10"/>
    </sheetView>
  </sheetViews>
  <sheetFormatPr defaultRowHeight="12.75"/>
  <cols>
    <col min="1" max="1" width="15.140625" customWidth="1"/>
    <col min="2" max="2" width="25.7109375" customWidth="1"/>
    <col min="3" max="4" width="11.140625" customWidth="1"/>
    <col min="5" max="5" width="16.140625" customWidth="1"/>
    <col min="6" max="6" width="15.28515625" customWidth="1"/>
    <col min="7" max="7" width="14" customWidth="1"/>
  </cols>
  <sheetData>
    <row r="1" spans="1: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247</v>
      </c>
      <c r="I1" s="5" t="s">
        <v>248</v>
      </c>
      <c r="Y1" s="5" t="s">
        <v>2</v>
      </c>
    </row>
    <row r="2" spans="1:25">
      <c r="A2" s="2">
        <v>45300</v>
      </c>
      <c r="B2" s="3" t="s">
        <v>7</v>
      </c>
      <c r="C2" s="4">
        <v>0</v>
      </c>
      <c r="D2" s="3">
        <v>120000</v>
      </c>
      <c r="E2" s="3" t="s">
        <v>7</v>
      </c>
      <c r="F2" s="3" t="s">
        <v>9</v>
      </c>
      <c r="G2" s="3" t="s">
        <v>10</v>
      </c>
      <c r="H2" s="15" t="str">
        <f>TEXT(A2,"MMM-YYYY")</f>
        <v>Jan-2024</v>
      </c>
      <c r="I2">
        <f>WEEKNUM(A2,2)</f>
        <v>2</v>
      </c>
      <c r="Y2">
        <v>0</v>
      </c>
    </row>
    <row r="3" spans="1:25">
      <c r="A3" s="2">
        <v>45300</v>
      </c>
      <c r="B3" s="3" t="s">
        <v>11</v>
      </c>
      <c r="C3" s="4">
        <v>120</v>
      </c>
      <c r="D3" s="3">
        <v>0</v>
      </c>
      <c r="E3" s="3" t="s">
        <v>13</v>
      </c>
      <c r="F3" s="3" t="s">
        <v>14</v>
      </c>
      <c r="G3" s="3" t="s">
        <v>15</v>
      </c>
      <c r="H3" s="15" t="str">
        <f>TEXT(A3,"MMM-YYYY")</f>
        <v>Jan-2024</v>
      </c>
      <c r="I3">
        <f t="shared" ref="I3:I66" si="0">WEEKNUM(A3,2)</f>
        <v>2</v>
      </c>
      <c r="K3">
        <f>SUM(C2:C487)</f>
        <v>724584.00000000023</v>
      </c>
      <c r="Y3">
        <v>120</v>
      </c>
    </row>
    <row r="4" spans="1:25">
      <c r="A4" s="2">
        <v>45301</v>
      </c>
      <c r="B4" s="3" t="s">
        <v>16</v>
      </c>
      <c r="C4" s="4">
        <v>21600</v>
      </c>
      <c r="D4" s="3">
        <v>0</v>
      </c>
      <c r="E4" s="3" t="s">
        <v>18</v>
      </c>
      <c r="F4" s="3" t="s">
        <v>19</v>
      </c>
      <c r="G4" s="3" t="s">
        <v>15</v>
      </c>
      <c r="H4" s="15" t="str">
        <f>TEXT(A4,"MMM-YYYY")</f>
        <v>Jan-2024</v>
      </c>
      <c r="I4">
        <f t="shared" si="0"/>
        <v>2</v>
      </c>
      <c r="Y4">
        <v>21600</v>
      </c>
    </row>
    <row r="5" spans="1:25">
      <c r="A5" s="2">
        <v>45301</v>
      </c>
      <c r="B5" s="3" t="s">
        <v>20</v>
      </c>
      <c r="C5" s="4">
        <v>3600</v>
      </c>
      <c r="D5" s="3">
        <v>0</v>
      </c>
      <c r="E5" s="3" t="s">
        <v>22</v>
      </c>
      <c r="F5" s="3" t="s">
        <v>23</v>
      </c>
      <c r="G5" s="3" t="s">
        <v>15</v>
      </c>
      <c r="H5" s="15" t="str">
        <f>TEXT(A5,"MMM-YYYY")</f>
        <v>Jan-2024</v>
      </c>
      <c r="I5">
        <f t="shared" si="0"/>
        <v>2</v>
      </c>
      <c r="K5">
        <v>724584</v>
      </c>
      <c r="Y5">
        <v>3600</v>
      </c>
    </row>
    <row r="6" spans="1:25">
      <c r="A6" s="2">
        <v>45301</v>
      </c>
      <c r="B6" s="3" t="s">
        <v>11</v>
      </c>
      <c r="C6" s="4">
        <v>120</v>
      </c>
      <c r="D6" s="3">
        <v>0</v>
      </c>
      <c r="E6" s="3" t="s">
        <v>13</v>
      </c>
      <c r="F6" s="3" t="s">
        <v>14</v>
      </c>
      <c r="G6" s="3" t="s">
        <v>15</v>
      </c>
      <c r="H6" s="15" t="str">
        <f>TEXT(A6,"MMM-YYYY")</f>
        <v>Jan-2024</v>
      </c>
      <c r="I6">
        <f t="shared" si="0"/>
        <v>2</v>
      </c>
      <c r="Y6">
        <v>120</v>
      </c>
    </row>
    <row r="7" spans="1:25">
      <c r="A7" s="2">
        <v>45302</v>
      </c>
      <c r="B7" s="3" t="s">
        <v>11</v>
      </c>
      <c r="C7" s="4">
        <v>120</v>
      </c>
      <c r="D7" s="3">
        <v>0</v>
      </c>
      <c r="E7" s="3" t="s">
        <v>13</v>
      </c>
      <c r="F7" s="3" t="s">
        <v>14</v>
      </c>
      <c r="G7" s="3" t="s">
        <v>15</v>
      </c>
      <c r="H7" s="15" t="str">
        <f>TEXT(A7,"MMM-YYYY")</f>
        <v>Jan-2024</v>
      </c>
      <c r="I7">
        <f t="shared" si="0"/>
        <v>2</v>
      </c>
      <c r="Y7">
        <v>120</v>
      </c>
    </row>
    <row r="8" spans="1:25">
      <c r="A8" s="2">
        <v>45303</v>
      </c>
      <c r="B8" s="3" t="s">
        <v>11</v>
      </c>
      <c r="C8" s="4">
        <v>120</v>
      </c>
      <c r="D8" s="3">
        <v>0</v>
      </c>
      <c r="E8" s="3" t="s">
        <v>13</v>
      </c>
      <c r="F8" s="3" t="s">
        <v>14</v>
      </c>
      <c r="G8" s="3" t="s">
        <v>15</v>
      </c>
      <c r="H8" s="15" t="str">
        <f>TEXT(A8,"MMM-YYYY")</f>
        <v>Jan-2024</v>
      </c>
      <c r="I8">
        <f t="shared" si="0"/>
        <v>2</v>
      </c>
      <c r="Y8">
        <v>120</v>
      </c>
    </row>
    <row r="9" spans="1:25">
      <c r="A9" s="2">
        <v>45304</v>
      </c>
      <c r="B9" s="3" t="s">
        <v>11</v>
      </c>
      <c r="C9" s="4">
        <v>120</v>
      </c>
      <c r="D9" s="3">
        <v>0</v>
      </c>
      <c r="E9" s="3" t="s">
        <v>13</v>
      </c>
      <c r="F9" s="3" t="s">
        <v>14</v>
      </c>
      <c r="G9" s="3" t="s">
        <v>15</v>
      </c>
      <c r="H9" s="15" t="str">
        <f>TEXT(A9,"MMM-YYYY")</f>
        <v>Jan-2024</v>
      </c>
      <c r="I9">
        <f t="shared" si="0"/>
        <v>2</v>
      </c>
      <c r="Y9">
        <v>120</v>
      </c>
    </row>
    <row r="10" spans="1:25">
      <c r="A10" s="2">
        <v>45304</v>
      </c>
      <c r="B10" s="3" t="s">
        <v>24</v>
      </c>
      <c r="C10" s="4">
        <v>3720</v>
      </c>
      <c r="D10" s="3">
        <v>0</v>
      </c>
      <c r="E10" s="3" t="s">
        <v>26</v>
      </c>
      <c r="F10" s="3" t="s">
        <v>19</v>
      </c>
      <c r="G10" s="3" t="s">
        <v>15</v>
      </c>
      <c r="H10" s="15" t="str">
        <f>TEXT(A10,"MMM-YYYY")</f>
        <v>Jan-2024</v>
      </c>
      <c r="I10">
        <f t="shared" si="0"/>
        <v>2</v>
      </c>
      <c r="K10">
        <f>SUM(D2:D487)</f>
        <v>1570560</v>
      </c>
      <c r="Y10">
        <v>3720</v>
      </c>
    </row>
    <row r="11" spans="1:25">
      <c r="A11" s="2">
        <v>45307</v>
      </c>
      <c r="B11" s="3" t="s">
        <v>27</v>
      </c>
      <c r="C11" s="4">
        <v>1200</v>
      </c>
      <c r="D11" s="3">
        <v>0</v>
      </c>
      <c r="E11" s="3" t="s">
        <v>29</v>
      </c>
      <c r="F11" s="3" t="s">
        <v>19</v>
      </c>
      <c r="G11" s="3" t="s">
        <v>15</v>
      </c>
      <c r="H11" s="15" t="str">
        <f>TEXT(A11,"MMM-YYYY")</f>
        <v>Jan-2024</v>
      </c>
      <c r="I11">
        <f t="shared" si="0"/>
        <v>3</v>
      </c>
      <c r="Y11">
        <v>1200</v>
      </c>
    </row>
    <row r="12" spans="1:25">
      <c r="A12" s="2">
        <v>45307</v>
      </c>
      <c r="B12" s="3" t="s">
        <v>11</v>
      </c>
      <c r="C12" s="4">
        <v>120</v>
      </c>
      <c r="D12" s="3">
        <v>0</v>
      </c>
      <c r="E12" s="3" t="s">
        <v>13</v>
      </c>
      <c r="F12" s="3" t="s">
        <v>14</v>
      </c>
      <c r="G12" s="3" t="s">
        <v>15</v>
      </c>
      <c r="H12" s="15" t="str">
        <f>TEXT(A12,"MMM-YYYY")</f>
        <v>Jan-2024</v>
      </c>
      <c r="I12">
        <f t="shared" si="0"/>
        <v>3</v>
      </c>
      <c r="Y12">
        <v>120</v>
      </c>
    </row>
    <row r="13" spans="1:25">
      <c r="A13" s="2">
        <v>45308</v>
      </c>
      <c r="B13" s="3" t="s">
        <v>11</v>
      </c>
      <c r="C13" s="4">
        <v>120</v>
      </c>
      <c r="D13" s="3">
        <v>0</v>
      </c>
      <c r="E13" s="3" t="s">
        <v>13</v>
      </c>
      <c r="F13" s="3" t="s">
        <v>14</v>
      </c>
      <c r="G13" s="3" t="s">
        <v>15</v>
      </c>
      <c r="H13" s="15" t="str">
        <f>TEXT(A13,"MMM-YYYY")</f>
        <v>Jan-2024</v>
      </c>
      <c r="I13">
        <f t="shared" si="0"/>
        <v>3</v>
      </c>
      <c r="Y13">
        <v>120</v>
      </c>
    </row>
    <row r="14" spans="1:25">
      <c r="A14" s="2">
        <v>45309</v>
      </c>
      <c r="B14" s="3" t="s">
        <v>30</v>
      </c>
      <c r="C14" s="4">
        <v>1848</v>
      </c>
      <c r="D14" s="3">
        <v>0</v>
      </c>
      <c r="E14" s="3" t="s">
        <v>13</v>
      </c>
      <c r="F14" s="3" t="s">
        <v>14</v>
      </c>
      <c r="G14" s="3" t="s">
        <v>15</v>
      </c>
      <c r="H14" s="15" t="str">
        <f>TEXT(A14,"MMM-YYYY")</f>
        <v>Jan-2024</v>
      </c>
      <c r="I14">
        <f t="shared" si="0"/>
        <v>3</v>
      </c>
      <c r="Y14">
        <v>1848</v>
      </c>
    </row>
    <row r="15" spans="1:25">
      <c r="A15" s="2">
        <v>45309</v>
      </c>
      <c r="B15" s="3" t="s">
        <v>11</v>
      </c>
      <c r="C15" s="4">
        <v>120</v>
      </c>
      <c r="D15" s="3">
        <v>0</v>
      </c>
      <c r="E15" s="3" t="s">
        <v>13</v>
      </c>
      <c r="F15" s="3" t="s">
        <v>14</v>
      </c>
      <c r="G15" s="3" t="s">
        <v>15</v>
      </c>
      <c r="H15" s="15" t="str">
        <f>TEXT(A15,"MMM-YYYY")</f>
        <v>Jan-2024</v>
      </c>
      <c r="I15">
        <f t="shared" si="0"/>
        <v>3</v>
      </c>
      <c r="Y15">
        <v>120</v>
      </c>
    </row>
    <row r="16" spans="1:25">
      <c r="A16" s="2">
        <v>45310</v>
      </c>
      <c r="B16" s="3" t="s">
        <v>11</v>
      </c>
      <c r="C16" s="4">
        <v>120</v>
      </c>
      <c r="D16" s="3">
        <v>0</v>
      </c>
      <c r="E16" s="3" t="s">
        <v>13</v>
      </c>
      <c r="F16" s="3" t="s">
        <v>14</v>
      </c>
      <c r="G16" s="3" t="s">
        <v>15</v>
      </c>
      <c r="H16" s="15" t="str">
        <f>TEXT(A16,"MMM-YYYY")</f>
        <v>Jan-2024</v>
      </c>
      <c r="I16">
        <f t="shared" si="0"/>
        <v>3</v>
      </c>
      <c r="Y16">
        <v>120</v>
      </c>
    </row>
    <row r="17" spans="1:25">
      <c r="A17" s="2">
        <v>45311</v>
      </c>
      <c r="B17" s="3" t="s">
        <v>24</v>
      </c>
      <c r="C17" s="4">
        <v>3240</v>
      </c>
      <c r="D17" s="3">
        <v>0</v>
      </c>
      <c r="E17" s="3" t="s">
        <v>26</v>
      </c>
      <c r="F17" s="3" t="s">
        <v>19</v>
      </c>
      <c r="G17" s="3" t="s">
        <v>15</v>
      </c>
      <c r="H17" s="15" t="str">
        <f>TEXT(A17,"MMM-YYYY")</f>
        <v>Jan-2024</v>
      </c>
      <c r="I17">
        <f t="shared" si="0"/>
        <v>3</v>
      </c>
      <c r="Y17">
        <v>3240</v>
      </c>
    </row>
    <row r="18" spans="1:25">
      <c r="A18" s="2">
        <v>45311</v>
      </c>
      <c r="B18" s="3" t="s">
        <v>11</v>
      </c>
      <c r="C18" s="4">
        <v>120</v>
      </c>
      <c r="D18" s="3">
        <v>0</v>
      </c>
      <c r="E18" s="3" t="s">
        <v>13</v>
      </c>
      <c r="F18" s="3" t="s">
        <v>14</v>
      </c>
      <c r="G18" s="3" t="s">
        <v>15</v>
      </c>
      <c r="H18" s="15" t="str">
        <f>TEXT(A18,"MMM-YYYY")</f>
        <v>Jan-2024</v>
      </c>
      <c r="I18">
        <f t="shared" si="0"/>
        <v>3</v>
      </c>
      <c r="Y18">
        <v>120</v>
      </c>
    </row>
    <row r="19" spans="1:25">
      <c r="A19" s="2">
        <v>45312</v>
      </c>
      <c r="B19" s="3" t="s">
        <v>11</v>
      </c>
      <c r="C19" s="4">
        <v>120</v>
      </c>
      <c r="D19" s="3">
        <v>0</v>
      </c>
      <c r="E19" s="3" t="s">
        <v>13</v>
      </c>
      <c r="F19" s="3" t="s">
        <v>14</v>
      </c>
      <c r="G19" s="3" t="s">
        <v>15</v>
      </c>
      <c r="H19" s="15" t="str">
        <f>TEXT(A19,"MMM-YYYY")</f>
        <v>Jan-2024</v>
      </c>
      <c r="I19">
        <f t="shared" si="0"/>
        <v>3</v>
      </c>
      <c r="Y19">
        <v>120</v>
      </c>
    </row>
    <row r="20" spans="1:25">
      <c r="A20" s="2">
        <v>45312</v>
      </c>
      <c r="B20" s="3" t="s">
        <v>33</v>
      </c>
      <c r="C20" s="4">
        <v>960</v>
      </c>
      <c r="D20" s="3">
        <v>0</v>
      </c>
      <c r="E20" s="3" t="s">
        <v>35</v>
      </c>
      <c r="F20" s="3" t="s">
        <v>36</v>
      </c>
      <c r="G20" s="3" t="s">
        <v>15</v>
      </c>
      <c r="H20" s="15" t="str">
        <f>TEXT(A20,"MMM-YYYY")</f>
        <v>Jan-2024</v>
      </c>
      <c r="I20">
        <f t="shared" si="0"/>
        <v>3</v>
      </c>
      <c r="Y20">
        <v>960</v>
      </c>
    </row>
    <row r="21" spans="1:25">
      <c r="A21" s="2">
        <v>45312</v>
      </c>
      <c r="B21" s="3" t="s">
        <v>37</v>
      </c>
      <c r="C21" s="4">
        <v>2352</v>
      </c>
      <c r="D21" s="3">
        <v>0</v>
      </c>
      <c r="E21" s="3" t="s">
        <v>39</v>
      </c>
      <c r="F21" s="3" t="s">
        <v>36</v>
      </c>
      <c r="G21" s="3" t="s">
        <v>15</v>
      </c>
      <c r="H21" s="15" t="str">
        <f>TEXT(A21,"MMM-YYYY")</f>
        <v>Jan-2024</v>
      </c>
      <c r="I21">
        <f t="shared" si="0"/>
        <v>3</v>
      </c>
      <c r="Y21">
        <v>2352</v>
      </c>
    </row>
    <row r="22" spans="1:25">
      <c r="A22" s="2">
        <v>45312</v>
      </c>
      <c r="B22" s="3" t="s">
        <v>40</v>
      </c>
      <c r="C22" s="4">
        <v>1248</v>
      </c>
      <c r="D22" s="3">
        <v>0</v>
      </c>
      <c r="E22" s="3" t="s">
        <v>42</v>
      </c>
      <c r="F22" s="3" t="s">
        <v>14</v>
      </c>
      <c r="G22" s="3" t="s">
        <v>15</v>
      </c>
      <c r="H22" s="15" t="str">
        <f>TEXT(A22,"MMM-YYYY")</f>
        <v>Jan-2024</v>
      </c>
      <c r="I22">
        <f t="shared" si="0"/>
        <v>3</v>
      </c>
      <c r="Y22">
        <v>1248</v>
      </c>
    </row>
    <row r="23" spans="1:25">
      <c r="A23" s="2">
        <v>45313</v>
      </c>
      <c r="B23" s="3" t="s">
        <v>43</v>
      </c>
      <c r="C23" s="4">
        <v>672</v>
      </c>
      <c r="D23" s="3">
        <v>0</v>
      </c>
      <c r="E23" s="3" t="s">
        <v>45</v>
      </c>
      <c r="F23" s="3" t="s">
        <v>23</v>
      </c>
      <c r="G23" s="3" t="s">
        <v>15</v>
      </c>
      <c r="H23" s="15" t="str">
        <f>TEXT(A23,"MMM-YYYY")</f>
        <v>Jan-2024</v>
      </c>
      <c r="I23">
        <f t="shared" si="0"/>
        <v>4</v>
      </c>
      <c r="Y23">
        <v>672</v>
      </c>
    </row>
    <row r="24" spans="1:25">
      <c r="A24" s="2">
        <v>45314</v>
      </c>
      <c r="B24" s="3" t="s">
        <v>46</v>
      </c>
      <c r="C24" s="4">
        <v>0</v>
      </c>
      <c r="D24" s="3">
        <v>108000</v>
      </c>
      <c r="E24" s="3" t="s">
        <v>48</v>
      </c>
      <c r="F24" s="3" t="s">
        <v>49</v>
      </c>
      <c r="G24" s="3" t="s">
        <v>10</v>
      </c>
      <c r="H24" s="15" t="str">
        <f>TEXT(A24,"MMM-YYYY")</f>
        <v>Jan-2024</v>
      </c>
      <c r="I24">
        <f t="shared" si="0"/>
        <v>4</v>
      </c>
      <c r="Y24">
        <v>0</v>
      </c>
    </row>
    <row r="25" spans="1:25">
      <c r="A25" s="2">
        <v>45314</v>
      </c>
      <c r="B25" s="3" t="s">
        <v>11</v>
      </c>
      <c r="C25" s="4">
        <v>120</v>
      </c>
      <c r="D25" s="3">
        <v>0</v>
      </c>
      <c r="E25" s="3" t="s">
        <v>13</v>
      </c>
      <c r="F25" s="3" t="s">
        <v>14</v>
      </c>
      <c r="G25" s="3" t="s">
        <v>15</v>
      </c>
      <c r="H25" s="15" t="str">
        <f>TEXT(A25,"MMM-YYYY")</f>
        <v>Jan-2024</v>
      </c>
      <c r="I25">
        <f t="shared" si="0"/>
        <v>4</v>
      </c>
      <c r="Y25">
        <v>120</v>
      </c>
    </row>
    <row r="26" spans="1:25">
      <c r="A26" s="2">
        <v>45315</v>
      </c>
      <c r="B26" s="3" t="s">
        <v>11</v>
      </c>
      <c r="C26" s="4">
        <v>120</v>
      </c>
      <c r="D26" s="3">
        <v>0</v>
      </c>
      <c r="E26" s="3" t="s">
        <v>13</v>
      </c>
      <c r="F26" s="3" t="s">
        <v>14</v>
      </c>
      <c r="G26" s="3" t="s">
        <v>15</v>
      </c>
      <c r="H26" s="15" t="str">
        <f>TEXT(A26,"MMM-YYYY")</f>
        <v>Jan-2024</v>
      </c>
      <c r="I26">
        <f t="shared" si="0"/>
        <v>4</v>
      </c>
      <c r="Y26">
        <v>120</v>
      </c>
    </row>
    <row r="27" spans="1:25">
      <c r="A27" s="2">
        <v>45315</v>
      </c>
      <c r="B27" s="3" t="s">
        <v>46</v>
      </c>
      <c r="C27" s="4">
        <v>0</v>
      </c>
      <c r="D27" s="3">
        <v>108000</v>
      </c>
      <c r="E27" s="3" t="s">
        <v>50</v>
      </c>
      <c r="F27" s="3" t="s">
        <v>49</v>
      </c>
      <c r="G27" s="3" t="s">
        <v>10</v>
      </c>
      <c r="H27" s="15" t="str">
        <f>TEXT(A27,"MMM-YYYY")</f>
        <v>Jan-2024</v>
      </c>
      <c r="I27">
        <f t="shared" si="0"/>
        <v>4</v>
      </c>
      <c r="Y27">
        <v>0</v>
      </c>
    </row>
    <row r="28" spans="1:25">
      <c r="A28" s="2">
        <v>45315</v>
      </c>
      <c r="B28" s="3" t="s">
        <v>51</v>
      </c>
      <c r="C28" s="4">
        <v>960</v>
      </c>
      <c r="D28" s="3">
        <v>0</v>
      </c>
      <c r="E28" s="3" t="s">
        <v>51</v>
      </c>
      <c r="F28" s="3" t="s">
        <v>19</v>
      </c>
      <c r="G28" s="3" t="s">
        <v>15</v>
      </c>
      <c r="H28" s="15" t="str">
        <f>TEXT(A28,"MMM-YYYY")</f>
        <v>Jan-2024</v>
      </c>
      <c r="I28">
        <f t="shared" si="0"/>
        <v>4</v>
      </c>
      <c r="Y28">
        <v>960</v>
      </c>
    </row>
    <row r="29" spans="1:25">
      <c r="A29" s="2">
        <v>45316</v>
      </c>
      <c r="B29" s="3" t="s">
        <v>52</v>
      </c>
      <c r="C29" s="4">
        <v>1080</v>
      </c>
      <c r="D29" s="3">
        <v>0</v>
      </c>
      <c r="E29" s="3" t="s">
        <v>54</v>
      </c>
      <c r="F29" s="3" t="s">
        <v>36</v>
      </c>
      <c r="G29" s="3" t="s">
        <v>15</v>
      </c>
      <c r="H29" s="15" t="str">
        <f>TEXT(A29,"MMM-YYYY")</f>
        <v>Jan-2024</v>
      </c>
      <c r="I29">
        <f t="shared" si="0"/>
        <v>4</v>
      </c>
      <c r="Y29">
        <v>1080</v>
      </c>
    </row>
    <row r="30" spans="1:25">
      <c r="A30" s="2">
        <v>45316</v>
      </c>
      <c r="B30" s="3" t="s">
        <v>55</v>
      </c>
      <c r="C30" s="4">
        <v>768</v>
      </c>
      <c r="D30" s="3">
        <v>0</v>
      </c>
      <c r="E30" s="3" t="s">
        <v>35</v>
      </c>
      <c r="F30" s="3" t="s">
        <v>36</v>
      </c>
      <c r="G30" s="3" t="s">
        <v>15</v>
      </c>
      <c r="H30" s="15" t="str">
        <f>TEXT(A30,"MMM-YYYY")</f>
        <v>Jan-2024</v>
      </c>
      <c r="I30">
        <f t="shared" si="0"/>
        <v>4</v>
      </c>
      <c r="Y30">
        <v>768</v>
      </c>
    </row>
    <row r="31" spans="1:25">
      <c r="A31" s="2">
        <v>45316</v>
      </c>
      <c r="B31" s="3" t="s">
        <v>11</v>
      </c>
      <c r="C31" s="4">
        <v>120</v>
      </c>
      <c r="D31" s="3">
        <v>0</v>
      </c>
      <c r="E31" s="3" t="s">
        <v>13</v>
      </c>
      <c r="F31" s="3" t="s">
        <v>14</v>
      </c>
      <c r="G31" s="3" t="s">
        <v>15</v>
      </c>
      <c r="H31" s="15" t="str">
        <f>TEXT(A31,"MMM-YYYY")</f>
        <v>Jan-2024</v>
      </c>
      <c r="I31">
        <f t="shared" si="0"/>
        <v>4</v>
      </c>
      <c r="Y31">
        <v>120</v>
      </c>
    </row>
    <row r="32" spans="1:25">
      <c r="A32" s="2">
        <v>45317</v>
      </c>
      <c r="B32" s="3" t="s">
        <v>11</v>
      </c>
      <c r="C32" s="4">
        <v>120</v>
      </c>
      <c r="D32" s="3">
        <v>0</v>
      </c>
      <c r="E32" s="3" t="s">
        <v>13</v>
      </c>
      <c r="F32" s="3" t="s">
        <v>14</v>
      </c>
      <c r="G32" s="3" t="s">
        <v>15</v>
      </c>
      <c r="H32" s="15" t="str">
        <f>TEXT(A32,"MMM-YYYY")</f>
        <v>Jan-2024</v>
      </c>
      <c r="I32">
        <f t="shared" si="0"/>
        <v>4</v>
      </c>
      <c r="Y32">
        <v>120</v>
      </c>
    </row>
    <row r="33" spans="1:25">
      <c r="A33" s="2">
        <v>45318</v>
      </c>
      <c r="B33" s="3" t="s">
        <v>11</v>
      </c>
      <c r="C33" s="4">
        <v>120</v>
      </c>
      <c r="D33" s="3">
        <v>0</v>
      </c>
      <c r="E33" s="3" t="s">
        <v>13</v>
      </c>
      <c r="F33" s="3" t="s">
        <v>14</v>
      </c>
      <c r="G33" s="3" t="s">
        <v>15</v>
      </c>
      <c r="H33" s="15" t="str">
        <f>TEXT(A33,"MMM-YYYY")</f>
        <v>Jan-2024</v>
      </c>
      <c r="I33">
        <f t="shared" si="0"/>
        <v>4</v>
      </c>
      <c r="Y33">
        <v>120</v>
      </c>
    </row>
    <row r="34" spans="1:25">
      <c r="A34" s="2">
        <v>45318</v>
      </c>
      <c r="B34" s="3" t="s">
        <v>24</v>
      </c>
      <c r="C34" s="4">
        <v>4080</v>
      </c>
      <c r="D34" s="3">
        <v>0</v>
      </c>
      <c r="E34" s="3" t="s">
        <v>26</v>
      </c>
      <c r="F34" s="3" t="s">
        <v>19</v>
      </c>
      <c r="G34" s="3" t="s">
        <v>15</v>
      </c>
      <c r="H34" s="15" t="str">
        <f>TEXT(A34,"MMM-YYYY")</f>
        <v>Jan-2024</v>
      </c>
      <c r="I34">
        <f t="shared" si="0"/>
        <v>4</v>
      </c>
      <c r="Y34">
        <v>4080</v>
      </c>
    </row>
    <row r="35" spans="1:25">
      <c r="A35" s="2">
        <v>45319</v>
      </c>
      <c r="B35" s="3" t="s">
        <v>58</v>
      </c>
      <c r="C35" s="4">
        <v>888</v>
      </c>
      <c r="D35" s="3">
        <v>0</v>
      </c>
      <c r="E35" s="3" t="s">
        <v>42</v>
      </c>
      <c r="F35" s="3" t="s">
        <v>14</v>
      </c>
      <c r="G35" s="3" t="s">
        <v>15</v>
      </c>
      <c r="H35" s="15" t="str">
        <f>TEXT(A35,"MMM-YYYY")</f>
        <v>Jan-2024</v>
      </c>
      <c r="I35">
        <f t="shared" si="0"/>
        <v>4</v>
      </c>
      <c r="Y35">
        <v>888</v>
      </c>
    </row>
    <row r="36" spans="1:25">
      <c r="A36" s="2">
        <v>45320</v>
      </c>
      <c r="B36" s="3" t="s">
        <v>60</v>
      </c>
      <c r="C36" s="4">
        <v>288</v>
      </c>
      <c r="D36" s="3">
        <v>0</v>
      </c>
      <c r="E36" s="3" t="s">
        <v>42</v>
      </c>
      <c r="F36" s="3" t="s">
        <v>14</v>
      </c>
      <c r="G36" s="3" t="s">
        <v>15</v>
      </c>
      <c r="H36" s="15" t="str">
        <f>TEXT(A36,"MMM-YYYY")</f>
        <v>Jan-2024</v>
      </c>
      <c r="I36">
        <f t="shared" si="0"/>
        <v>5</v>
      </c>
      <c r="Y36">
        <v>288</v>
      </c>
    </row>
    <row r="37" spans="1:25">
      <c r="A37" s="2">
        <v>45321</v>
      </c>
      <c r="B37" s="3" t="s">
        <v>62</v>
      </c>
      <c r="C37" s="4">
        <v>1320</v>
      </c>
      <c r="D37" s="3">
        <v>0</v>
      </c>
      <c r="E37" s="3" t="s">
        <v>64</v>
      </c>
      <c r="F37" s="3" t="s">
        <v>65</v>
      </c>
      <c r="G37" s="3" t="s">
        <v>15</v>
      </c>
      <c r="H37" s="15" t="str">
        <f>TEXT(A37,"MMM-YYYY")</f>
        <v>Jan-2024</v>
      </c>
      <c r="I37">
        <f t="shared" si="0"/>
        <v>5</v>
      </c>
      <c r="Y37">
        <v>1320</v>
      </c>
    </row>
    <row r="38" spans="1:25">
      <c r="A38" s="2">
        <v>45321</v>
      </c>
      <c r="B38" s="3" t="s">
        <v>30</v>
      </c>
      <c r="C38" s="4">
        <v>1512</v>
      </c>
      <c r="D38" s="3">
        <v>0</v>
      </c>
      <c r="E38" s="3" t="s">
        <v>67</v>
      </c>
      <c r="F38" s="3" t="s">
        <v>23</v>
      </c>
      <c r="G38" s="3" t="s">
        <v>15</v>
      </c>
      <c r="H38" s="15" t="str">
        <f>TEXT(A38,"MMM-YYYY")</f>
        <v>Jan-2024</v>
      </c>
      <c r="I38">
        <f t="shared" si="0"/>
        <v>5</v>
      </c>
      <c r="Y38">
        <v>1512</v>
      </c>
    </row>
    <row r="39" spans="1:25">
      <c r="A39" s="2">
        <v>45321</v>
      </c>
      <c r="B39" s="3" t="s">
        <v>11</v>
      </c>
      <c r="C39" s="4">
        <v>120</v>
      </c>
      <c r="D39" s="3">
        <v>0</v>
      </c>
      <c r="E39" s="3" t="s">
        <v>13</v>
      </c>
      <c r="F39" s="3" t="s">
        <v>14</v>
      </c>
      <c r="G39" s="3" t="s">
        <v>15</v>
      </c>
      <c r="H39" s="15" t="str">
        <f>TEXT(A39,"MMM-YYYY")</f>
        <v>Jan-2024</v>
      </c>
      <c r="I39">
        <f t="shared" si="0"/>
        <v>5</v>
      </c>
      <c r="Y39">
        <v>120</v>
      </c>
    </row>
    <row r="40" spans="1:25">
      <c r="A40" s="2">
        <v>45322</v>
      </c>
      <c r="B40" s="3" t="s">
        <v>11</v>
      </c>
      <c r="C40" s="4">
        <v>120</v>
      </c>
      <c r="D40" s="3">
        <v>0</v>
      </c>
      <c r="E40" s="3" t="s">
        <v>13</v>
      </c>
      <c r="F40" s="3" t="s">
        <v>14</v>
      </c>
      <c r="G40" s="3" t="s">
        <v>15</v>
      </c>
      <c r="H40" s="15" t="str">
        <f>TEXT(A40,"MMM-YYYY")</f>
        <v>Jan-2024</v>
      </c>
      <c r="I40">
        <f t="shared" si="0"/>
        <v>5</v>
      </c>
      <c r="Y40">
        <v>120</v>
      </c>
    </row>
    <row r="41" spans="1:25">
      <c r="A41" s="2">
        <v>45323</v>
      </c>
      <c r="B41" s="3" t="s">
        <v>11</v>
      </c>
      <c r="C41" s="4">
        <v>120</v>
      </c>
      <c r="D41" s="3">
        <v>0</v>
      </c>
      <c r="E41" s="3" t="s">
        <v>13</v>
      </c>
      <c r="F41" s="3" t="s">
        <v>14</v>
      </c>
      <c r="G41" s="3" t="s">
        <v>15</v>
      </c>
      <c r="H41" s="15" t="str">
        <f>TEXT(A41,"MMM-YYYY")</f>
        <v>Feb-2024</v>
      </c>
      <c r="I41">
        <f t="shared" si="0"/>
        <v>5</v>
      </c>
      <c r="Y41">
        <v>120</v>
      </c>
    </row>
    <row r="42" spans="1:25">
      <c r="A42" s="2">
        <v>45324</v>
      </c>
      <c r="B42" s="3" t="s">
        <v>11</v>
      </c>
      <c r="C42" s="4">
        <v>120</v>
      </c>
      <c r="D42" s="3">
        <v>0</v>
      </c>
      <c r="E42" s="3" t="s">
        <v>13</v>
      </c>
      <c r="F42" s="3" t="s">
        <v>14</v>
      </c>
      <c r="G42" s="3" t="s">
        <v>15</v>
      </c>
      <c r="H42" s="15" t="str">
        <f>TEXT(A42,"MMM-YYYY")</f>
        <v>Feb-2024</v>
      </c>
      <c r="I42">
        <f t="shared" si="0"/>
        <v>5</v>
      </c>
      <c r="Y42">
        <v>120</v>
      </c>
    </row>
    <row r="43" spans="1:25">
      <c r="A43" s="2">
        <v>45325</v>
      </c>
      <c r="B43" s="3" t="s">
        <v>11</v>
      </c>
      <c r="C43" s="4">
        <v>120</v>
      </c>
      <c r="D43" s="3">
        <v>0</v>
      </c>
      <c r="E43" s="3" t="s">
        <v>13</v>
      </c>
      <c r="F43" s="3" t="s">
        <v>14</v>
      </c>
      <c r="G43" s="3" t="s">
        <v>15</v>
      </c>
      <c r="H43" s="15" t="str">
        <f>TEXT(A43,"MMM-YYYY")</f>
        <v>Feb-2024</v>
      </c>
      <c r="I43">
        <f t="shared" si="0"/>
        <v>5</v>
      </c>
      <c r="Y43">
        <v>120</v>
      </c>
    </row>
    <row r="44" spans="1:25">
      <c r="A44" s="2">
        <v>45325</v>
      </c>
      <c r="B44" s="3" t="s">
        <v>24</v>
      </c>
      <c r="C44" s="4">
        <v>3888</v>
      </c>
      <c r="D44" s="3">
        <v>0</v>
      </c>
      <c r="E44" s="3" t="s">
        <v>26</v>
      </c>
      <c r="F44" s="3" t="s">
        <v>19</v>
      </c>
      <c r="G44" s="3" t="s">
        <v>15</v>
      </c>
      <c r="H44" s="15" t="str">
        <f>TEXT(A44,"MMM-YYYY")</f>
        <v>Feb-2024</v>
      </c>
      <c r="I44">
        <f t="shared" si="0"/>
        <v>5</v>
      </c>
      <c r="Y44">
        <v>3888</v>
      </c>
    </row>
    <row r="45" spans="1:25">
      <c r="A45" s="2">
        <v>45326</v>
      </c>
      <c r="B45" s="3" t="s">
        <v>69</v>
      </c>
      <c r="C45" s="4">
        <v>3000</v>
      </c>
      <c r="D45" s="3">
        <v>0</v>
      </c>
      <c r="E45" s="3" t="s">
        <v>39</v>
      </c>
      <c r="F45" s="3" t="s">
        <v>36</v>
      </c>
      <c r="G45" s="3" t="s">
        <v>15</v>
      </c>
      <c r="H45" s="15" t="str">
        <f>TEXT(A45,"MMM-YYYY")</f>
        <v>Feb-2024</v>
      </c>
      <c r="I45">
        <f t="shared" si="0"/>
        <v>5</v>
      </c>
      <c r="Y45">
        <v>3000</v>
      </c>
    </row>
    <row r="46" spans="1:25">
      <c r="A46" s="2">
        <v>45326</v>
      </c>
      <c r="B46" s="3" t="s">
        <v>71</v>
      </c>
      <c r="C46" s="4">
        <v>4200</v>
      </c>
      <c r="D46" s="3">
        <v>0</v>
      </c>
      <c r="E46" s="3" t="s">
        <v>35</v>
      </c>
      <c r="F46" s="3" t="s">
        <v>36</v>
      </c>
      <c r="G46" s="3" t="s">
        <v>15</v>
      </c>
      <c r="H46" s="15" t="str">
        <f>TEXT(A46,"MMM-YYYY")</f>
        <v>Feb-2024</v>
      </c>
      <c r="I46">
        <f t="shared" si="0"/>
        <v>5</v>
      </c>
      <c r="Y46">
        <v>4200</v>
      </c>
    </row>
    <row r="47" spans="1:25">
      <c r="A47" s="2">
        <v>45327</v>
      </c>
      <c r="B47" s="3" t="s">
        <v>37</v>
      </c>
      <c r="C47" s="4">
        <v>3480</v>
      </c>
      <c r="D47" s="3">
        <v>0</v>
      </c>
      <c r="E47" s="3" t="s">
        <v>39</v>
      </c>
      <c r="F47" s="3" t="s">
        <v>36</v>
      </c>
      <c r="G47" s="3" t="s">
        <v>15</v>
      </c>
      <c r="H47" s="15" t="str">
        <f>TEXT(A47,"MMM-YYYY")</f>
        <v>Feb-2024</v>
      </c>
      <c r="I47">
        <f t="shared" si="0"/>
        <v>6</v>
      </c>
      <c r="Y47">
        <v>3480</v>
      </c>
    </row>
    <row r="48" spans="1:25">
      <c r="A48" s="2">
        <v>45327</v>
      </c>
      <c r="B48" s="3" t="s">
        <v>43</v>
      </c>
      <c r="C48" s="4">
        <v>552</v>
      </c>
      <c r="D48" s="3">
        <v>0</v>
      </c>
      <c r="E48" s="3" t="s">
        <v>45</v>
      </c>
      <c r="F48" s="3" t="s">
        <v>23</v>
      </c>
      <c r="G48" s="3" t="s">
        <v>15</v>
      </c>
      <c r="H48" s="15" t="str">
        <f>TEXT(A48,"MMM-YYYY")</f>
        <v>Feb-2024</v>
      </c>
      <c r="I48">
        <f t="shared" si="0"/>
        <v>6</v>
      </c>
      <c r="Y48">
        <v>552</v>
      </c>
    </row>
    <row r="49" spans="1:25">
      <c r="A49" s="2">
        <v>45328</v>
      </c>
      <c r="B49" s="3" t="s">
        <v>7</v>
      </c>
      <c r="C49" s="4">
        <v>0</v>
      </c>
      <c r="D49" s="3">
        <v>120000</v>
      </c>
      <c r="E49" s="3" t="s">
        <v>75</v>
      </c>
      <c r="F49" s="3" t="s">
        <v>9</v>
      </c>
      <c r="G49" s="3" t="s">
        <v>10</v>
      </c>
      <c r="H49" s="15" t="str">
        <f>TEXT(A49,"MMM-YYYY")</f>
        <v>Feb-2024</v>
      </c>
      <c r="I49">
        <f t="shared" si="0"/>
        <v>6</v>
      </c>
      <c r="Y49">
        <v>0</v>
      </c>
    </row>
    <row r="50" spans="1:25">
      <c r="A50" s="2">
        <v>45328</v>
      </c>
      <c r="B50" s="3" t="s">
        <v>11</v>
      </c>
      <c r="C50" s="4">
        <v>120</v>
      </c>
      <c r="D50" s="3">
        <v>0</v>
      </c>
      <c r="E50" s="3" t="s">
        <v>13</v>
      </c>
      <c r="F50" s="3" t="s">
        <v>14</v>
      </c>
      <c r="G50" s="3" t="s">
        <v>15</v>
      </c>
      <c r="H50" s="15" t="str">
        <f>TEXT(A50,"MMM-YYYY")</f>
        <v>Feb-2024</v>
      </c>
      <c r="I50">
        <f t="shared" si="0"/>
        <v>6</v>
      </c>
      <c r="Y50">
        <v>120</v>
      </c>
    </row>
    <row r="51" spans="1:25">
      <c r="A51" s="2">
        <v>45329</v>
      </c>
      <c r="B51" s="3" t="s">
        <v>16</v>
      </c>
      <c r="C51" s="4">
        <v>21600</v>
      </c>
      <c r="D51" s="3">
        <v>0</v>
      </c>
      <c r="E51" s="3" t="s">
        <v>18</v>
      </c>
      <c r="F51" s="3" t="s">
        <v>19</v>
      </c>
      <c r="G51" s="3" t="s">
        <v>15</v>
      </c>
      <c r="H51" s="15" t="str">
        <f>TEXT(A51,"MMM-YYYY")</f>
        <v>Feb-2024</v>
      </c>
      <c r="I51">
        <f t="shared" si="0"/>
        <v>6</v>
      </c>
      <c r="Y51">
        <v>21600</v>
      </c>
    </row>
    <row r="52" spans="1:25">
      <c r="A52" s="2">
        <v>45329</v>
      </c>
      <c r="B52" s="3" t="s">
        <v>20</v>
      </c>
      <c r="C52" s="4">
        <v>3600</v>
      </c>
      <c r="D52" s="3">
        <v>0</v>
      </c>
      <c r="E52" s="3" t="s">
        <v>22</v>
      </c>
      <c r="F52" s="3" t="s">
        <v>23</v>
      </c>
      <c r="G52" s="3" t="s">
        <v>15</v>
      </c>
      <c r="H52" s="15" t="str">
        <f>TEXT(A52,"MMM-YYYY")</f>
        <v>Feb-2024</v>
      </c>
      <c r="I52">
        <f t="shared" si="0"/>
        <v>6</v>
      </c>
      <c r="Y52">
        <v>3600</v>
      </c>
    </row>
    <row r="53" spans="1:25">
      <c r="A53" s="2">
        <v>45329</v>
      </c>
      <c r="B53" s="3" t="s">
        <v>11</v>
      </c>
      <c r="C53" s="4">
        <v>120</v>
      </c>
      <c r="D53" s="3">
        <v>0</v>
      </c>
      <c r="E53" s="3" t="s">
        <v>13</v>
      </c>
      <c r="F53" s="3" t="s">
        <v>14</v>
      </c>
      <c r="G53" s="3" t="s">
        <v>15</v>
      </c>
      <c r="H53" s="15" t="str">
        <f>TEXT(A53,"MMM-YYYY")</f>
        <v>Feb-2024</v>
      </c>
      <c r="I53">
        <f t="shared" si="0"/>
        <v>6</v>
      </c>
      <c r="Y53">
        <v>120</v>
      </c>
    </row>
    <row r="54" spans="1:25">
      <c r="A54" s="2">
        <v>45330</v>
      </c>
      <c r="B54" s="3" t="s">
        <v>11</v>
      </c>
      <c r="C54" s="4">
        <v>120</v>
      </c>
      <c r="D54" s="3">
        <v>0</v>
      </c>
      <c r="E54" s="3" t="s">
        <v>13</v>
      </c>
      <c r="F54" s="3" t="s">
        <v>14</v>
      </c>
      <c r="G54" s="3" t="s">
        <v>15</v>
      </c>
      <c r="H54" s="15" t="str">
        <f>TEXT(A54,"MMM-YYYY")</f>
        <v>Feb-2024</v>
      </c>
      <c r="I54">
        <f t="shared" si="0"/>
        <v>6</v>
      </c>
      <c r="Y54">
        <v>120</v>
      </c>
    </row>
    <row r="55" spans="1:25">
      <c r="A55" s="2">
        <v>45331</v>
      </c>
      <c r="B55" s="3" t="s">
        <v>11</v>
      </c>
      <c r="C55" s="4">
        <v>120</v>
      </c>
      <c r="D55" s="3">
        <v>0</v>
      </c>
      <c r="E55" s="3" t="s">
        <v>13</v>
      </c>
      <c r="F55" s="3" t="s">
        <v>14</v>
      </c>
      <c r="G55" s="3" t="s">
        <v>15</v>
      </c>
      <c r="H55" s="15" t="str">
        <f>TEXT(A55,"MMM-YYYY")</f>
        <v>Feb-2024</v>
      </c>
      <c r="I55">
        <f t="shared" si="0"/>
        <v>6</v>
      </c>
      <c r="Y55">
        <v>120</v>
      </c>
    </row>
    <row r="56" spans="1:25">
      <c r="A56" s="2">
        <v>45332</v>
      </c>
      <c r="B56" s="3" t="s">
        <v>11</v>
      </c>
      <c r="C56" s="4">
        <v>120</v>
      </c>
      <c r="D56" s="3">
        <v>0</v>
      </c>
      <c r="E56" s="3" t="s">
        <v>13</v>
      </c>
      <c r="F56" s="3" t="s">
        <v>14</v>
      </c>
      <c r="G56" s="3" t="s">
        <v>15</v>
      </c>
      <c r="H56" s="15" t="str">
        <f>TEXT(A56,"MMM-YYYY")</f>
        <v>Feb-2024</v>
      </c>
      <c r="I56">
        <f t="shared" si="0"/>
        <v>6</v>
      </c>
      <c r="Y56">
        <v>120</v>
      </c>
    </row>
    <row r="57" spans="1:25">
      <c r="A57" s="2">
        <v>45332</v>
      </c>
      <c r="B57" s="3" t="s">
        <v>24</v>
      </c>
      <c r="C57" s="4">
        <v>4920</v>
      </c>
      <c r="D57" s="3">
        <v>0</v>
      </c>
      <c r="E57" s="3" t="s">
        <v>26</v>
      </c>
      <c r="F57" s="3" t="s">
        <v>19</v>
      </c>
      <c r="G57" s="3" t="s">
        <v>15</v>
      </c>
      <c r="H57" s="15" t="str">
        <f>TEXT(A57,"MMM-YYYY")</f>
        <v>Feb-2024</v>
      </c>
      <c r="I57">
        <f t="shared" si="0"/>
        <v>6</v>
      </c>
      <c r="Y57">
        <v>4920</v>
      </c>
    </row>
    <row r="58" spans="1:25">
      <c r="A58" s="2">
        <v>45335</v>
      </c>
      <c r="B58" s="3" t="s">
        <v>27</v>
      </c>
      <c r="C58" s="4">
        <v>1226.4000000000001</v>
      </c>
      <c r="D58" s="3">
        <v>0</v>
      </c>
      <c r="E58" s="3" t="s">
        <v>29</v>
      </c>
      <c r="F58" s="3" t="s">
        <v>19</v>
      </c>
      <c r="G58" s="3" t="s">
        <v>15</v>
      </c>
      <c r="H58" s="15" t="str">
        <f>TEXT(A58,"MMM-YYYY")</f>
        <v>Feb-2024</v>
      </c>
      <c r="I58">
        <f t="shared" si="0"/>
        <v>7</v>
      </c>
      <c r="Y58">
        <v>1226.4000000000001</v>
      </c>
    </row>
    <row r="59" spans="1:25">
      <c r="A59" s="2">
        <v>45335</v>
      </c>
      <c r="B59" s="3" t="s">
        <v>11</v>
      </c>
      <c r="C59" s="4">
        <v>120</v>
      </c>
      <c r="D59" s="3">
        <v>0</v>
      </c>
      <c r="E59" s="3" t="s">
        <v>13</v>
      </c>
      <c r="F59" s="3" t="s">
        <v>14</v>
      </c>
      <c r="G59" s="3" t="s">
        <v>15</v>
      </c>
      <c r="H59" s="15" t="str">
        <f>TEXT(A59,"MMM-YYYY")</f>
        <v>Feb-2024</v>
      </c>
      <c r="I59">
        <f t="shared" si="0"/>
        <v>7</v>
      </c>
      <c r="Y59">
        <v>120</v>
      </c>
    </row>
    <row r="60" spans="1:25">
      <c r="A60" s="2">
        <v>45336</v>
      </c>
      <c r="B60" s="3" t="s">
        <v>11</v>
      </c>
      <c r="C60" s="4">
        <v>120</v>
      </c>
      <c r="D60" s="3">
        <v>0</v>
      </c>
      <c r="E60" s="3" t="s">
        <v>13</v>
      </c>
      <c r="F60" s="3" t="s">
        <v>14</v>
      </c>
      <c r="G60" s="3" t="s">
        <v>15</v>
      </c>
      <c r="H60" s="15" t="str">
        <f>TEXT(A60,"MMM-YYYY")</f>
        <v>Feb-2024</v>
      </c>
      <c r="I60">
        <f t="shared" si="0"/>
        <v>7</v>
      </c>
      <c r="Y60">
        <v>120</v>
      </c>
    </row>
    <row r="61" spans="1:25">
      <c r="A61" s="2">
        <v>45337</v>
      </c>
      <c r="B61" s="3" t="s">
        <v>30</v>
      </c>
      <c r="C61" s="4">
        <v>1872</v>
      </c>
      <c r="D61" s="3">
        <v>0</v>
      </c>
      <c r="E61" s="3" t="s">
        <v>67</v>
      </c>
      <c r="F61" s="3" t="s">
        <v>23</v>
      </c>
      <c r="G61" s="3" t="s">
        <v>15</v>
      </c>
      <c r="H61" s="15" t="str">
        <f>TEXT(A61,"MMM-YYYY")</f>
        <v>Feb-2024</v>
      </c>
      <c r="I61">
        <f t="shared" si="0"/>
        <v>7</v>
      </c>
      <c r="Y61">
        <v>1872</v>
      </c>
    </row>
    <row r="62" spans="1:25">
      <c r="A62" s="2">
        <v>45337</v>
      </c>
      <c r="B62" s="3" t="s">
        <v>11</v>
      </c>
      <c r="C62" s="4">
        <v>120</v>
      </c>
      <c r="D62" s="3">
        <v>0</v>
      </c>
      <c r="E62" s="3" t="s">
        <v>13</v>
      </c>
      <c r="F62" s="3" t="s">
        <v>14</v>
      </c>
      <c r="G62" s="3" t="s">
        <v>15</v>
      </c>
      <c r="H62" s="15" t="str">
        <f>TEXT(A62,"MMM-YYYY")</f>
        <v>Feb-2024</v>
      </c>
      <c r="I62">
        <f t="shared" si="0"/>
        <v>7</v>
      </c>
      <c r="Y62">
        <v>120</v>
      </c>
    </row>
    <row r="63" spans="1:25">
      <c r="A63" s="2">
        <v>45338</v>
      </c>
      <c r="B63" s="3" t="s">
        <v>11</v>
      </c>
      <c r="C63" s="4">
        <v>120</v>
      </c>
      <c r="D63" s="3">
        <v>0</v>
      </c>
      <c r="E63" s="3" t="s">
        <v>13</v>
      </c>
      <c r="F63" s="3" t="s">
        <v>14</v>
      </c>
      <c r="G63" s="3" t="s">
        <v>15</v>
      </c>
      <c r="H63" s="15" t="str">
        <f>TEXT(A63,"MMM-YYYY")</f>
        <v>Feb-2024</v>
      </c>
      <c r="I63">
        <f t="shared" si="0"/>
        <v>7</v>
      </c>
      <c r="Y63">
        <v>120</v>
      </c>
    </row>
    <row r="64" spans="1:25">
      <c r="A64" s="2">
        <v>45339</v>
      </c>
      <c r="B64" s="3" t="s">
        <v>24</v>
      </c>
      <c r="C64" s="4">
        <v>3261.6</v>
      </c>
      <c r="D64" s="3">
        <v>0</v>
      </c>
      <c r="E64" s="3" t="s">
        <v>26</v>
      </c>
      <c r="F64" s="3" t="s">
        <v>19</v>
      </c>
      <c r="G64" s="3" t="s">
        <v>15</v>
      </c>
      <c r="H64" s="15" t="str">
        <f>TEXT(A64,"MMM-YYYY")</f>
        <v>Feb-2024</v>
      </c>
      <c r="I64">
        <f t="shared" si="0"/>
        <v>7</v>
      </c>
      <c r="Y64">
        <v>3261.6</v>
      </c>
    </row>
    <row r="65" spans="1:25">
      <c r="A65" s="2">
        <v>45339</v>
      </c>
      <c r="B65" s="3" t="s">
        <v>11</v>
      </c>
      <c r="C65" s="4">
        <v>120</v>
      </c>
      <c r="D65" s="3">
        <v>0</v>
      </c>
      <c r="E65" s="3" t="s">
        <v>13</v>
      </c>
      <c r="F65" s="3" t="s">
        <v>14</v>
      </c>
      <c r="G65" s="3" t="s">
        <v>15</v>
      </c>
      <c r="H65" s="15" t="str">
        <f>TEXT(A65,"MMM-YYYY")</f>
        <v>Feb-2024</v>
      </c>
      <c r="I65">
        <f t="shared" si="0"/>
        <v>7</v>
      </c>
      <c r="Y65">
        <v>120</v>
      </c>
    </row>
    <row r="66" spans="1:25">
      <c r="A66" s="2">
        <v>45340</v>
      </c>
      <c r="B66" s="3" t="s">
        <v>11</v>
      </c>
      <c r="C66" s="4">
        <v>120</v>
      </c>
      <c r="D66" s="3">
        <v>0</v>
      </c>
      <c r="E66" s="3" t="s">
        <v>13</v>
      </c>
      <c r="F66" s="3" t="s">
        <v>14</v>
      </c>
      <c r="G66" s="3" t="s">
        <v>15</v>
      </c>
      <c r="H66" s="15" t="str">
        <f>TEXT(A66,"MMM-YYYY")</f>
        <v>Feb-2024</v>
      </c>
      <c r="I66">
        <f t="shared" si="0"/>
        <v>7</v>
      </c>
      <c r="Y66">
        <v>120</v>
      </c>
    </row>
    <row r="67" spans="1:25">
      <c r="A67" s="2">
        <v>45340</v>
      </c>
      <c r="B67" s="3" t="s">
        <v>33</v>
      </c>
      <c r="C67" s="4">
        <v>981.6</v>
      </c>
      <c r="D67" s="3">
        <v>0</v>
      </c>
      <c r="E67" s="3" t="s">
        <v>35</v>
      </c>
      <c r="F67" s="3" t="s">
        <v>36</v>
      </c>
      <c r="G67" s="3" t="s">
        <v>15</v>
      </c>
      <c r="H67" s="15" t="str">
        <f>TEXT(A67,"MMM-YYYY")</f>
        <v>Feb-2024</v>
      </c>
      <c r="I67">
        <f t="shared" ref="I67:I130" si="1">WEEKNUM(A67,2)</f>
        <v>7</v>
      </c>
      <c r="Y67">
        <v>981.6</v>
      </c>
    </row>
    <row r="68" spans="1:25">
      <c r="A68" s="2">
        <v>45340</v>
      </c>
      <c r="B68" s="3" t="s">
        <v>81</v>
      </c>
      <c r="C68" s="4">
        <v>2376</v>
      </c>
      <c r="D68" s="3">
        <v>0</v>
      </c>
      <c r="E68" s="3" t="s">
        <v>39</v>
      </c>
      <c r="F68" s="3" t="s">
        <v>36</v>
      </c>
      <c r="G68" s="3" t="s">
        <v>15</v>
      </c>
      <c r="H68" s="15" t="str">
        <f>TEXT(A68,"MMM-YYYY")</f>
        <v>Feb-2024</v>
      </c>
      <c r="I68">
        <f t="shared" si="1"/>
        <v>7</v>
      </c>
      <c r="Y68">
        <v>2376</v>
      </c>
    </row>
    <row r="69" spans="1:25">
      <c r="A69" s="2">
        <v>45340</v>
      </c>
      <c r="B69" s="3" t="s">
        <v>40</v>
      </c>
      <c r="C69" s="4">
        <v>1272</v>
      </c>
      <c r="D69" s="3">
        <v>0</v>
      </c>
      <c r="E69" s="3" t="s">
        <v>42</v>
      </c>
      <c r="F69" s="3" t="s">
        <v>14</v>
      </c>
      <c r="G69" s="3" t="s">
        <v>15</v>
      </c>
      <c r="H69" s="15" t="str">
        <f>TEXT(A69,"MMM-YYYY")</f>
        <v>Feb-2024</v>
      </c>
      <c r="I69">
        <f t="shared" si="1"/>
        <v>7</v>
      </c>
      <c r="Y69">
        <v>1272</v>
      </c>
    </row>
    <row r="70" spans="1:25">
      <c r="A70" s="2">
        <v>45341</v>
      </c>
      <c r="B70" s="3" t="s">
        <v>43</v>
      </c>
      <c r="C70" s="4">
        <v>693.6</v>
      </c>
      <c r="D70" s="3">
        <v>0</v>
      </c>
      <c r="E70" s="3" t="s">
        <v>45</v>
      </c>
      <c r="F70" s="3" t="s">
        <v>23</v>
      </c>
      <c r="G70" s="3" t="s">
        <v>15</v>
      </c>
      <c r="H70" s="15" t="str">
        <f>TEXT(A70,"MMM-YYYY")</f>
        <v>Feb-2024</v>
      </c>
      <c r="I70">
        <f t="shared" si="1"/>
        <v>8</v>
      </c>
      <c r="Y70">
        <v>693.6</v>
      </c>
    </row>
    <row r="71" spans="1:25">
      <c r="A71" s="2">
        <v>45342</v>
      </c>
      <c r="B71" s="3" t="s">
        <v>46</v>
      </c>
      <c r="C71" s="4">
        <v>0</v>
      </c>
      <c r="D71" s="3">
        <v>19200</v>
      </c>
      <c r="E71" s="3" t="s">
        <v>48</v>
      </c>
      <c r="F71" s="3" t="s">
        <v>49</v>
      </c>
      <c r="G71" s="3" t="s">
        <v>10</v>
      </c>
      <c r="H71" s="15" t="str">
        <f>TEXT(A71,"MMM-YYYY")</f>
        <v>Feb-2024</v>
      </c>
      <c r="I71">
        <f t="shared" si="1"/>
        <v>8</v>
      </c>
      <c r="Y71">
        <v>0</v>
      </c>
    </row>
    <row r="72" spans="1:25">
      <c r="A72" s="2">
        <v>45342</v>
      </c>
      <c r="B72" s="3" t="s">
        <v>11</v>
      </c>
      <c r="C72" s="4">
        <v>120</v>
      </c>
      <c r="D72" s="3">
        <v>0</v>
      </c>
      <c r="E72" s="3" t="s">
        <v>13</v>
      </c>
      <c r="F72" s="3" t="s">
        <v>14</v>
      </c>
      <c r="G72" s="3" t="s">
        <v>15</v>
      </c>
      <c r="H72" s="15" t="str">
        <f>TEXT(A72,"MMM-YYYY")</f>
        <v>Feb-2024</v>
      </c>
      <c r="I72">
        <f t="shared" si="1"/>
        <v>8</v>
      </c>
      <c r="Y72">
        <v>120</v>
      </c>
    </row>
    <row r="73" spans="1:25">
      <c r="A73" s="2">
        <v>45343</v>
      </c>
      <c r="B73" s="3" t="s">
        <v>11</v>
      </c>
      <c r="C73" s="4">
        <v>120</v>
      </c>
      <c r="D73" s="3">
        <v>0</v>
      </c>
      <c r="E73" s="3" t="s">
        <v>13</v>
      </c>
      <c r="F73" s="3" t="s">
        <v>14</v>
      </c>
      <c r="G73" s="3" t="s">
        <v>15</v>
      </c>
      <c r="H73" s="15" t="str">
        <f>TEXT(A73,"MMM-YYYY")</f>
        <v>Feb-2024</v>
      </c>
      <c r="I73">
        <f t="shared" si="1"/>
        <v>8</v>
      </c>
      <c r="Y73">
        <v>120</v>
      </c>
    </row>
    <row r="74" spans="1:25">
      <c r="A74" s="2">
        <v>45343</v>
      </c>
      <c r="B74" s="3" t="s">
        <v>51</v>
      </c>
      <c r="C74" s="4">
        <v>960</v>
      </c>
      <c r="D74" s="3">
        <v>0</v>
      </c>
      <c r="E74" s="3" t="s">
        <v>51</v>
      </c>
      <c r="F74" s="3" t="s">
        <v>19</v>
      </c>
      <c r="G74" s="3" t="s">
        <v>15</v>
      </c>
      <c r="H74" s="15" t="str">
        <f>TEXT(A74,"MMM-YYYY")</f>
        <v>Feb-2024</v>
      </c>
      <c r="I74">
        <f t="shared" si="1"/>
        <v>8</v>
      </c>
      <c r="Y74">
        <v>960</v>
      </c>
    </row>
    <row r="75" spans="1:25">
      <c r="A75" s="2">
        <v>45344</v>
      </c>
      <c r="B75" s="3" t="s">
        <v>52</v>
      </c>
      <c r="C75" s="4">
        <v>1101.5999999999999</v>
      </c>
      <c r="D75" s="3">
        <v>0</v>
      </c>
      <c r="E75" s="3" t="s">
        <v>54</v>
      </c>
      <c r="F75" s="3" t="s">
        <v>36</v>
      </c>
      <c r="G75" s="3" t="s">
        <v>15</v>
      </c>
      <c r="H75" s="15" t="str">
        <f>TEXT(A75,"MMM-YYYY")</f>
        <v>Feb-2024</v>
      </c>
      <c r="I75">
        <f t="shared" si="1"/>
        <v>8</v>
      </c>
      <c r="Y75">
        <v>1101.5999999999999</v>
      </c>
    </row>
    <row r="76" spans="1:25">
      <c r="A76" s="2">
        <v>45344</v>
      </c>
      <c r="B76" s="3" t="s">
        <v>55</v>
      </c>
      <c r="C76" s="4">
        <v>840</v>
      </c>
      <c r="D76" s="3">
        <v>0</v>
      </c>
      <c r="E76" s="3" t="s">
        <v>35</v>
      </c>
      <c r="F76" s="3" t="s">
        <v>36</v>
      </c>
      <c r="G76" s="3" t="s">
        <v>15</v>
      </c>
      <c r="H76" s="15" t="str">
        <f>TEXT(A76,"MMM-YYYY")</f>
        <v>Feb-2024</v>
      </c>
      <c r="I76">
        <f t="shared" si="1"/>
        <v>8</v>
      </c>
      <c r="Y76">
        <v>840</v>
      </c>
    </row>
    <row r="77" spans="1:25">
      <c r="A77" s="2">
        <v>45344</v>
      </c>
      <c r="B77" s="3" t="s">
        <v>11</v>
      </c>
      <c r="C77" s="4">
        <v>120</v>
      </c>
      <c r="D77" s="3">
        <v>0</v>
      </c>
      <c r="E77" s="3" t="s">
        <v>13</v>
      </c>
      <c r="F77" s="3" t="s">
        <v>14</v>
      </c>
      <c r="G77" s="3" t="s">
        <v>15</v>
      </c>
      <c r="H77" s="15" t="str">
        <f>TEXT(A77,"MMM-YYYY")</f>
        <v>Feb-2024</v>
      </c>
      <c r="I77">
        <f t="shared" si="1"/>
        <v>8</v>
      </c>
      <c r="Y77">
        <v>120</v>
      </c>
    </row>
    <row r="78" spans="1:25">
      <c r="A78" s="2">
        <v>45345</v>
      </c>
      <c r="B78" s="3" t="s">
        <v>11</v>
      </c>
      <c r="C78" s="4">
        <v>120</v>
      </c>
      <c r="D78" s="3">
        <v>0</v>
      </c>
      <c r="E78" s="3" t="s">
        <v>13</v>
      </c>
      <c r="F78" s="3" t="s">
        <v>14</v>
      </c>
      <c r="G78" s="3" t="s">
        <v>15</v>
      </c>
      <c r="H78" s="15" t="str">
        <f>TEXT(A78,"MMM-YYYY")</f>
        <v>Feb-2024</v>
      </c>
      <c r="I78">
        <f t="shared" si="1"/>
        <v>8</v>
      </c>
      <c r="Y78">
        <v>120</v>
      </c>
    </row>
    <row r="79" spans="1:25">
      <c r="A79" s="2">
        <v>45346</v>
      </c>
      <c r="B79" s="3" t="s">
        <v>11</v>
      </c>
      <c r="C79" s="4">
        <v>120</v>
      </c>
      <c r="D79" s="3">
        <v>0</v>
      </c>
      <c r="E79" s="3" t="s">
        <v>13</v>
      </c>
      <c r="F79" s="3" t="s">
        <v>14</v>
      </c>
      <c r="G79" s="3" t="s">
        <v>15</v>
      </c>
      <c r="H79" s="15" t="str">
        <f>TEXT(A79,"MMM-YYYY")</f>
        <v>Feb-2024</v>
      </c>
      <c r="I79">
        <f t="shared" si="1"/>
        <v>8</v>
      </c>
      <c r="Y79">
        <v>120</v>
      </c>
    </row>
    <row r="80" spans="1:25">
      <c r="A80" s="2">
        <v>45346</v>
      </c>
      <c r="B80" s="3" t="s">
        <v>24</v>
      </c>
      <c r="C80" s="4">
        <v>4104</v>
      </c>
      <c r="D80" s="3">
        <v>0</v>
      </c>
      <c r="E80" s="3" t="s">
        <v>26</v>
      </c>
      <c r="F80" s="3" t="s">
        <v>19</v>
      </c>
      <c r="G80" s="3" t="s">
        <v>15</v>
      </c>
      <c r="H80" s="15" t="str">
        <f>TEXT(A80,"MMM-YYYY")</f>
        <v>Feb-2024</v>
      </c>
      <c r="I80">
        <f t="shared" si="1"/>
        <v>8</v>
      </c>
      <c r="Y80">
        <v>4104</v>
      </c>
    </row>
    <row r="81" spans="1:25">
      <c r="A81" s="2">
        <v>45347</v>
      </c>
      <c r="B81" s="3" t="s">
        <v>58</v>
      </c>
      <c r="C81" s="4">
        <v>909.6</v>
      </c>
      <c r="D81" s="3">
        <v>0</v>
      </c>
      <c r="E81" s="3" t="s">
        <v>42</v>
      </c>
      <c r="F81" s="3" t="s">
        <v>14</v>
      </c>
      <c r="G81" s="3" t="s">
        <v>15</v>
      </c>
      <c r="H81" s="15" t="str">
        <f>TEXT(A81,"MMM-YYYY")</f>
        <v>Feb-2024</v>
      </c>
      <c r="I81">
        <f t="shared" si="1"/>
        <v>8</v>
      </c>
      <c r="Y81">
        <v>909.6</v>
      </c>
    </row>
    <row r="82" spans="1:25">
      <c r="A82" s="2">
        <v>45348</v>
      </c>
      <c r="B82" s="3" t="s">
        <v>60</v>
      </c>
      <c r="C82" s="4">
        <v>309.60000000000002</v>
      </c>
      <c r="D82" s="3">
        <v>0</v>
      </c>
      <c r="E82" s="3" t="s">
        <v>42</v>
      </c>
      <c r="F82" s="3" t="s">
        <v>14</v>
      </c>
      <c r="G82" s="3" t="s">
        <v>15</v>
      </c>
      <c r="H82" s="15" t="str">
        <f>TEXT(A82,"MMM-YYYY")</f>
        <v>Feb-2024</v>
      </c>
      <c r="I82">
        <f t="shared" si="1"/>
        <v>9</v>
      </c>
      <c r="Y82">
        <v>309.60000000000002</v>
      </c>
    </row>
    <row r="83" spans="1:25">
      <c r="A83" s="2">
        <v>45349</v>
      </c>
      <c r="B83" s="3" t="s">
        <v>62</v>
      </c>
      <c r="C83" s="4">
        <v>1320</v>
      </c>
      <c r="D83" s="3">
        <v>0</v>
      </c>
      <c r="E83" s="3" t="s">
        <v>64</v>
      </c>
      <c r="F83" s="3" t="s">
        <v>65</v>
      </c>
      <c r="G83" s="3" t="s">
        <v>15</v>
      </c>
      <c r="H83" s="15" t="str">
        <f>TEXT(A83,"MMM-YYYY")</f>
        <v>Feb-2024</v>
      </c>
      <c r="I83">
        <f t="shared" si="1"/>
        <v>9</v>
      </c>
      <c r="Y83">
        <v>1320</v>
      </c>
    </row>
    <row r="84" spans="1:25">
      <c r="A84" s="2">
        <v>45349</v>
      </c>
      <c r="B84" s="3" t="s">
        <v>30</v>
      </c>
      <c r="C84" s="4">
        <v>1538.4</v>
      </c>
      <c r="D84" s="3">
        <v>0</v>
      </c>
      <c r="E84" s="3" t="s">
        <v>67</v>
      </c>
      <c r="F84" s="3" t="s">
        <v>23</v>
      </c>
      <c r="G84" s="3" t="s">
        <v>15</v>
      </c>
      <c r="H84" s="15" t="str">
        <f>TEXT(A84,"MMM-YYYY")</f>
        <v>Feb-2024</v>
      </c>
      <c r="I84">
        <f t="shared" si="1"/>
        <v>9</v>
      </c>
      <c r="Y84">
        <v>1538.4</v>
      </c>
    </row>
    <row r="85" spans="1:25">
      <c r="A85" s="2">
        <v>45349</v>
      </c>
      <c r="B85" s="3" t="s">
        <v>11</v>
      </c>
      <c r="C85" s="4">
        <v>120</v>
      </c>
      <c r="D85" s="3">
        <v>0</v>
      </c>
      <c r="E85" s="3" t="s">
        <v>13</v>
      </c>
      <c r="F85" s="3" t="s">
        <v>14</v>
      </c>
      <c r="G85" s="3" t="s">
        <v>15</v>
      </c>
      <c r="H85" s="15" t="str">
        <f>TEXT(A85,"MMM-YYYY")</f>
        <v>Feb-2024</v>
      </c>
      <c r="I85">
        <f t="shared" si="1"/>
        <v>9</v>
      </c>
      <c r="Y85">
        <v>120</v>
      </c>
    </row>
    <row r="86" spans="1:25">
      <c r="A86" s="2">
        <v>45350</v>
      </c>
      <c r="B86" s="3" t="s">
        <v>11</v>
      </c>
      <c r="C86" s="4">
        <v>120</v>
      </c>
      <c r="D86" s="3">
        <v>0</v>
      </c>
      <c r="E86" s="3" t="s">
        <v>13</v>
      </c>
      <c r="F86" s="3" t="s">
        <v>14</v>
      </c>
      <c r="G86" s="3" t="s">
        <v>15</v>
      </c>
      <c r="H86" s="15" t="str">
        <f>TEXT(A86,"MMM-YYYY")</f>
        <v>Feb-2024</v>
      </c>
      <c r="I86">
        <f t="shared" si="1"/>
        <v>9</v>
      </c>
      <c r="Y86">
        <v>120</v>
      </c>
    </row>
    <row r="87" spans="1:25">
      <c r="A87" s="2">
        <v>45351</v>
      </c>
      <c r="B87" s="3" t="s">
        <v>11</v>
      </c>
      <c r="C87" s="4">
        <v>120</v>
      </c>
      <c r="D87" s="3">
        <v>0</v>
      </c>
      <c r="E87" s="3" t="s">
        <v>13</v>
      </c>
      <c r="F87" s="3" t="s">
        <v>14</v>
      </c>
      <c r="G87" s="3" t="s">
        <v>15</v>
      </c>
      <c r="H87" s="15" t="str">
        <f>TEXT(A87,"MMM-YYYY")</f>
        <v>Feb-2024</v>
      </c>
      <c r="I87">
        <f t="shared" si="1"/>
        <v>9</v>
      </c>
      <c r="Y87">
        <v>120</v>
      </c>
    </row>
    <row r="88" spans="1:25">
      <c r="A88" s="2">
        <v>45352</v>
      </c>
      <c r="B88" s="3" t="s">
        <v>11</v>
      </c>
      <c r="C88" s="4">
        <v>120</v>
      </c>
      <c r="D88" s="3">
        <v>0</v>
      </c>
      <c r="E88" s="3" t="s">
        <v>13</v>
      </c>
      <c r="F88" s="3" t="s">
        <v>14</v>
      </c>
      <c r="G88" s="3" t="s">
        <v>15</v>
      </c>
      <c r="H88" s="15" t="str">
        <f>TEXT(A88,"MMM-YYYY")</f>
        <v>Mar-2024</v>
      </c>
      <c r="I88">
        <f t="shared" si="1"/>
        <v>9</v>
      </c>
      <c r="Y88">
        <v>120</v>
      </c>
    </row>
    <row r="89" spans="1:25">
      <c r="A89" s="2">
        <v>45353</v>
      </c>
      <c r="B89" s="3" t="s">
        <v>11</v>
      </c>
      <c r="C89" s="4">
        <v>120</v>
      </c>
      <c r="D89" s="3">
        <v>0</v>
      </c>
      <c r="E89" s="3" t="s">
        <v>13</v>
      </c>
      <c r="F89" s="3" t="s">
        <v>14</v>
      </c>
      <c r="G89" s="3" t="s">
        <v>15</v>
      </c>
      <c r="H89" s="15" t="str">
        <f>TEXT(A89,"MMM-YYYY")</f>
        <v>Mar-2024</v>
      </c>
      <c r="I89">
        <f t="shared" si="1"/>
        <v>9</v>
      </c>
      <c r="Y89">
        <v>120</v>
      </c>
    </row>
    <row r="90" spans="1:25">
      <c r="A90" s="2">
        <v>45353</v>
      </c>
      <c r="B90" s="3" t="s">
        <v>24</v>
      </c>
      <c r="C90" s="4">
        <v>3909.6</v>
      </c>
      <c r="D90" s="3">
        <v>0</v>
      </c>
      <c r="E90" s="3" t="s">
        <v>26</v>
      </c>
      <c r="F90" s="3" t="s">
        <v>19</v>
      </c>
      <c r="G90" s="3" t="s">
        <v>15</v>
      </c>
      <c r="H90" s="15" t="str">
        <f>TEXT(A90,"MMM-YYYY")</f>
        <v>Mar-2024</v>
      </c>
      <c r="I90">
        <f t="shared" si="1"/>
        <v>9</v>
      </c>
      <c r="Y90">
        <v>3909.6</v>
      </c>
    </row>
    <row r="91" spans="1:25">
      <c r="A91" s="2">
        <v>45354</v>
      </c>
      <c r="B91" s="3" t="s">
        <v>69</v>
      </c>
      <c r="C91" s="4">
        <v>3021.6</v>
      </c>
      <c r="D91" s="3">
        <v>0</v>
      </c>
      <c r="E91" s="3" t="s">
        <v>39</v>
      </c>
      <c r="F91" s="3" t="s">
        <v>36</v>
      </c>
      <c r="G91" s="3" t="s">
        <v>15</v>
      </c>
      <c r="H91" s="15" t="str">
        <f>TEXT(A91,"MMM-YYYY")</f>
        <v>Mar-2024</v>
      </c>
      <c r="I91">
        <f t="shared" si="1"/>
        <v>9</v>
      </c>
      <c r="Y91">
        <v>3021.6</v>
      </c>
    </row>
    <row r="92" spans="1:25">
      <c r="A92" s="2">
        <v>45354</v>
      </c>
      <c r="B92" s="3" t="s">
        <v>94</v>
      </c>
      <c r="C92" s="4">
        <v>3288</v>
      </c>
      <c r="D92" s="3">
        <v>0</v>
      </c>
      <c r="E92" s="3" t="s">
        <v>39</v>
      </c>
      <c r="F92" s="3" t="s">
        <v>36</v>
      </c>
      <c r="G92" s="3" t="s">
        <v>15</v>
      </c>
      <c r="H92" s="15" t="str">
        <f>TEXT(A92,"MMM-YYYY")</f>
        <v>Mar-2024</v>
      </c>
      <c r="I92">
        <f t="shared" si="1"/>
        <v>9</v>
      </c>
      <c r="Y92">
        <v>3288</v>
      </c>
    </row>
    <row r="93" spans="1:25">
      <c r="A93" s="2">
        <v>45355</v>
      </c>
      <c r="B93" s="3" t="s">
        <v>37</v>
      </c>
      <c r="C93" s="4">
        <v>3506.4</v>
      </c>
      <c r="D93" s="3">
        <v>0</v>
      </c>
      <c r="E93" s="3" t="s">
        <v>39</v>
      </c>
      <c r="F93" s="3" t="s">
        <v>36</v>
      </c>
      <c r="G93" s="3" t="s">
        <v>15</v>
      </c>
      <c r="H93" s="15" t="str">
        <f>TEXT(A93,"MMM-YYYY")</f>
        <v>Mar-2024</v>
      </c>
      <c r="I93">
        <f t="shared" si="1"/>
        <v>10</v>
      </c>
      <c r="Y93">
        <v>3506.4</v>
      </c>
    </row>
    <row r="94" spans="1:25">
      <c r="A94" s="2">
        <v>45355</v>
      </c>
      <c r="B94" s="3" t="s">
        <v>43</v>
      </c>
      <c r="C94" s="4">
        <v>578.4</v>
      </c>
      <c r="D94" s="3">
        <v>0</v>
      </c>
      <c r="E94" s="3" t="s">
        <v>45</v>
      </c>
      <c r="F94" s="3" t="s">
        <v>23</v>
      </c>
      <c r="G94" s="3" t="s">
        <v>15</v>
      </c>
      <c r="H94" s="15" t="str">
        <f>TEXT(A94,"MMM-YYYY")</f>
        <v>Mar-2024</v>
      </c>
      <c r="I94">
        <f t="shared" si="1"/>
        <v>10</v>
      </c>
      <c r="Y94">
        <v>578.4</v>
      </c>
    </row>
    <row r="95" spans="1:25">
      <c r="A95" s="2">
        <v>45356</v>
      </c>
      <c r="B95" s="3" t="s">
        <v>7</v>
      </c>
      <c r="C95" s="4">
        <v>0</v>
      </c>
      <c r="D95" s="3">
        <v>120000</v>
      </c>
      <c r="E95" s="3" t="s">
        <v>75</v>
      </c>
      <c r="F95" s="3" t="s">
        <v>9</v>
      </c>
      <c r="G95" s="3" t="s">
        <v>10</v>
      </c>
      <c r="H95" s="15" t="str">
        <f>TEXT(A95,"MMM-YYYY")</f>
        <v>Mar-2024</v>
      </c>
      <c r="I95">
        <f t="shared" si="1"/>
        <v>10</v>
      </c>
      <c r="Y95">
        <v>0</v>
      </c>
    </row>
    <row r="96" spans="1:25">
      <c r="A96" s="2">
        <v>45356</v>
      </c>
      <c r="B96" s="3" t="s">
        <v>11</v>
      </c>
      <c r="C96" s="4">
        <v>120</v>
      </c>
      <c r="D96" s="3">
        <v>0</v>
      </c>
      <c r="E96" s="3" t="s">
        <v>13</v>
      </c>
      <c r="F96" s="3" t="s">
        <v>14</v>
      </c>
      <c r="G96" s="3" t="s">
        <v>15</v>
      </c>
      <c r="H96" s="15" t="str">
        <f>TEXT(A96,"MMM-YYYY")</f>
        <v>Mar-2024</v>
      </c>
      <c r="I96">
        <f t="shared" si="1"/>
        <v>10</v>
      </c>
      <c r="Y96">
        <v>120</v>
      </c>
    </row>
    <row r="97" spans="1:25">
      <c r="A97" s="2">
        <v>45357</v>
      </c>
      <c r="B97" s="3" t="s">
        <v>16</v>
      </c>
      <c r="C97" s="4">
        <v>21600</v>
      </c>
      <c r="D97" s="3">
        <v>0</v>
      </c>
      <c r="E97" s="3" t="s">
        <v>18</v>
      </c>
      <c r="F97" s="3" t="s">
        <v>19</v>
      </c>
      <c r="G97" s="3" t="s">
        <v>15</v>
      </c>
      <c r="H97" s="15" t="str">
        <f>TEXT(A97,"MMM-YYYY")</f>
        <v>Mar-2024</v>
      </c>
      <c r="I97">
        <f t="shared" si="1"/>
        <v>10</v>
      </c>
      <c r="Y97">
        <v>21600</v>
      </c>
    </row>
    <row r="98" spans="1:25">
      <c r="A98" s="2">
        <v>45357</v>
      </c>
      <c r="B98" s="3" t="s">
        <v>20</v>
      </c>
      <c r="C98" s="4">
        <v>3600</v>
      </c>
      <c r="D98" s="3">
        <v>0</v>
      </c>
      <c r="E98" s="3" t="s">
        <v>22</v>
      </c>
      <c r="F98" s="3" t="s">
        <v>23</v>
      </c>
      <c r="G98" s="3" t="s">
        <v>15</v>
      </c>
      <c r="H98" s="15" t="str">
        <f>TEXT(A98,"MMM-YYYY")</f>
        <v>Mar-2024</v>
      </c>
      <c r="I98">
        <f t="shared" si="1"/>
        <v>10</v>
      </c>
      <c r="Y98">
        <v>3600</v>
      </c>
    </row>
    <row r="99" spans="1:25">
      <c r="A99" s="2">
        <v>45357</v>
      </c>
      <c r="B99" s="3" t="s">
        <v>11</v>
      </c>
      <c r="C99" s="4">
        <v>120</v>
      </c>
      <c r="D99" s="3">
        <v>0</v>
      </c>
      <c r="E99" s="3" t="s">
        <v>13</v>
      </c>
      <c r="F99" s="3" t="s">
        <v>14</v>
      </c>
      <c r="G99" s="3" t="s">
        <v>15</v>
      </c>
      <c r="H99" s="15" t="str">
        <f>TEXT(A99,"MMM-YYYY")</f>
        <v>Mar-2024</v>
      </c>
      <c r="I99">
        <f t="shared" si="1"/>
        <v>10</v>
      </c>
      <c r="Y99">
        <v>120</v>
      </c>
    </row>
    <row r="100" spans="1:25">
      <c r="A100" s="2">
        <v>45358</v>
      </c>
      <c r="B100" s="3" t="s">
        <v>11</v>
      </c>
      <c r="C100" s="4">
        <v>120</v>
      </c>
      <c r="D100" s="3">
        <v>0</v>
      </c>
      <c r="E100" s="3" t="s">
        <v>13</v>
      </c>
      <c r="F100" s="3" t="s">
        <v>14</v>
      </c>
      <c r="G100" s="3" t="s">
        <v>15</v>
      </c>
      <c r="H100" s="15" t="str">
        <f>TEXT(A100,"MMM-YYYY")</f>
        <v>Mar-2024</v>
      </c>
      <c r="I100">
        <f t="shared" si="1"/>
        <v>10</v>
      </c>
      <c r="Y100">
        <v>120</v>
      </c>
    </row>
    <row r="101" spans="1:25">
      <c r="A101" s="2">
        <v>45359</v>
      </c>
      <c r="B101" s="3" t="s">
        <v>11</v>
      </c>
      <c r="C101" s="4">
        <v>120</v>
      </c>
      <c r="D101" s="3">
        <v>0</v>
      </c>
      <c r="E101" s="3" t="s">
        <v>13</v>
      </c>
      <c r="F101" s="3" t="s">
        <v>14</v>
      </c>
      <c r="G101" s="3" t="s">
        <v>15</v>
      </c>
      <c r="H101" s="15" t="str">
        <f>TEXT(A101,"MMM-YYYY")</f>
        <v>Mar-2024</v>
      </c>
      <c r="I101">
        <f t="shared" si="1"/>
        <v>10</v>
      </c>
      <c r="Y101">
        <v>120</v>
      </c>
    </row>
    <row r="102" spans="1:25">
      <c r="A102" s="2">
        <v>45360</v>
      </c>
      <c r="B102" s="3" t="s">
        <v>11</v>
      </c>
      <c r="C102" s="4">
        <v>120</v>
      </c>
      <c r="D102" s="3">
        <v>0</v>
      </c>
      <c r="E102" s="3" t="s">
        <v>13</v>
      </c>
      <c r="F102" s="3" t="s">
        <v>14</v>
      </c>
      <c r="G102" s="3" t="s">
        <v>15</v>
      </c>
      <c r="H102" s="15" t="str">
        <f>TEXT(A102,"MMM-YYYY")</f>
        <v>Mar-2024</v>
      </c>
      <c r="I102">
        <f t="shared" si="1"/>
        <v>10</v>
      </c>
      <c r="Y102">
        <v>120</v>
      </c>
    </row>
    <row r="103" spans="1:25">
      <c r="A103" s="2">
        <v>45360</v>
      </c>
      <c r="B103" s="3" t="s">
        <v>24</v>
      </c>
      <c r="C103" s="4">
        <v>3576</v>
      </c>
      <c r="D103" s="3">
        <v>0</v>
      </c>
      <c r="E103" s="3" t="s">
        <v>26</v>
      </c>
      <c r="F103" s="3" t="s">
        <v>19</v>
      </c>
      <c r="G103" s="3" t="s">
        <v>15</v>
      </c>
      <c r="H103" s="15" t="str">
        <f>TEXT(A103,"MMM-YYYY")</f>
        <v>Mar-2024</v>
      </c>
      <c r="I103">
        <f t="shared" si="1"/>
        <v>10</v>
      </c>
      <c r="Y103">
        <v>3576</v>
      </c>
    </row>
    <row r="104" spans="1:25">
      <c r="A104" s="2">
        <v>45363</v>
      </c>
      <c r="B104" s="3" t="s">
        <v>27</v>
      </c>
      <c r="C104" s="4">
        <v>1250.4000000000001</v>
      </c>
      <c r="D104" s="3">
        <v>0</v>
      </c>
      <c r="E104" s="3" t="s">
        <v>29</v>
      </c>
      <c r="F104" s="3" t="s">
        <v>19</v>
      </c>
      <c r="G104" s="3" t="s">
        <v>15</v>
      </c>
      <c r="H104" s="15" t="str">
        <f>TEXT(A104,"MMM-YYYY")</f>
        <v>Mar-2024</v>
      </c>
      <c r="I104">
        <f t="shared" si="1"/>
        <v>11</v>
      </c>
      <c r="Y104">
        <v>1250.4000000000001</v>
      </c>
    </row>
    <row r="105" spans="1:25">
      <c r="A105" s="2">
        <v>45363</v>
      </c>
      <c r="B105" s="3" t="s">
        <v>11</v>
      </c>
      <c r="C105" s="4">
        <v>120</v>
      </c>
      <c r="D105" s="3">
        <v>0</v>
      </c>
      <c r="E105" s="3" t="s">
        <v>13</v>
      </c>
      <c r="F105" s="3" t="s">
        <v>14</v>
      </c>
      <c r="G105" s="3" t="s">
        <v>15</v>
      </c>
      <c r="H105" s="15" t="str">
        <f>TEXT(A105,"MMM-YYYY")</f>
        <v>Mar-2024</v>
      </c>
      <c r="I105">
        <f t="shared" si="1"/>
        <v>11</v>
      </c>
      <c r="Y105">
        <v>120</v>
      </c>
    </row>
    <row r="106" spans="1:25">
      <c r="A106" s="2">
        <v>45364</v>
      </c>
      <c r="B106" s="3" t="s">
        <v>11</v>
      </c>
      <c r="C106" s="4">
        <v>120</v>
      </c>
      <c r="D106" s="3">
        <v>0</v>
      </c>
      <c r="E106" s="3" t="s">
        <v>13</v>
      </c>
      <c r="F106" s="3" t="s">
        <v>14</v>
      </c>
      <c r="G106" s="3" t="s">
        <v>15</v>
      </c>
      <c r="H106" s="15" t="str">
        <f>TEXT(A106,"MMM-YYYY")</f>
        <v>Mar-2024</v>
      </c>
      <c r="I106">
        <f t="shared" si="1"/>
        <v>11</v>
      </c>
      <c r="Y106">
        <v>120</v>
      </c>
    </row>
    <row r="107" spans="1:25">
      <c r="A107" s="2">
        <v>45365</v>
      </c>
      <c r="B107" s="3" t="s">
        <v>30</v>
      </c>
      <c r="C107" s="4">
        <v>1893.6</v>
      </c>
      <c r="D107" s="3">
        <v>0</v>
      </c>
      <c r="E107" s="3" t="s">
        <v>67</v>
      </c>
      <c r="F107" s="3" t="s">
        <v>23</v>
      </c>
      <c r="G107" s="3" t="s">
        <v>15</v>
      </c>
      <c r="H107" s="15" t="str">
        <f>TEXT(A107,"MMM-YYYY")</f>
        <v>Mar-2024</v>
      </c>
      <c r="I107">
        <f t="shared" si="1"/>
        <v>11</v>
      </c>
      <c r="Y107">
        <v>1893.6</v>
      </c>
    </row>
    <row r="108" spans="1:25">
      <c r="A108" s="2">
        <v>45365</v>
      </c>
      <c r="B108" s="3" t="s">
        <v>11</v>
      </c>
      <c r="C108" s="4">
        <v>120</v>
      </c>
      <c r="D108" s="3">
        <v>0</v>
      </c>
      <c r="E108" s="3" t="s">
        <v>13</v>
      </c>
      <c r="F108" s="3" t="s">
        <v>14</v>
      </c>
      <c r="G108" s="3" t="s">
        <v>15</v>
      </c>
      <c r="H108" s="15" t="str">
        <f>TEXT(A108,"MMM-YYYY")</f>
        <v>Mar-2024</v>
      </c>
      <c r="I108">
        <f t="shared" si="1"/>
        <v>11</v>
      </c>
      <c r="Y108">
        <v>120</v>
      </c>
    </row>
    <row r="109" spans="1:25">
      <c r="A109" s="2">
        <v>45366</v>
      </c>
      <c r="B109" s="3" t="s">
        <v>11</v>
      </c>
      <c r="C109" s="4">
        <v>120</v>
      </c>
      <c r="D109" s="3">
        <v>0</v>
      </c>
      <c r="E109" s="3" t="s">
        <v>13</v>
      </c>
      <c r="F109" s="3" t="s">
        <v>14</v>
      </c>
      <c r="G109" s="3" t="s">
        <v>15</v>
      </c>
      <c r="H109" s="15" t="str">
        <f>TEXT(A109,"MMM-YYYY")</f>
        <v>Mar-2024</v>
      </c>
      <c r="I109">
        <f t="shared" si="1"/>
        <v>11</v>
      </c>
      <c r="Y109">
        <v>120</v>
      </c>
    </row>
    <row r="110" spans="1:25">
      <c r="A110" s="2">
        <v>45367</v>
      </c>
      <c r="B110" s="3" t="s">
        <v>24</v>
      </c>
      <c r="C110" s="4">
        <v>3288</v>
      </c>
      <c r="D110" s="3">
        <v>0</v>
      </c>
      <c r="E110" s="3" t="s">
        <v>26</v>
      </c>
      <c r="F110" s="3" t="s">
        <v>19</v>
      </c>
      <c r="G110" s="3" t="s">
        <v>15</v>
      </c>
      <c r="H110" s="15" t="str">
        <f>TEXT(A110,"MMM-YYYY")</f>
        <v>Mar-2024</v>
      </c>
      <c r="I110">
        <f t="shared" si="1"/>
        <v>11</v>
      </c>
      <c r="Y110">
        <v>3288</v>
      </c>
    </row>
    <row r="111" spans="1:25">
      <c r="A111" s="2">
        <v>45367</v>
      </c>
      <c r="B111" s="3" t="s">
        <v>11</v>
      </c>
      <c r="C111" s="4">
        <v>120</v>
      </c>
      <c r="D111" s="3">
        <v>0</v>
      </c>
      <c r="E111" s="3" t="s">
        <v>13</v>
      </c>
      <c r="F111" s="3" t="s">
        <v>14</v>
      </c>
      <c r="G111" s="3" t="s">
        <v>15</v>
      </c>
      <c r="H111" s="15" t="str">
        <f>TEXT(A111,"MMM-YYYY")</f>
        <v>Mar-2024</v>
      </c>
      <c r="I111">
        <f t="shared" si="1"/>
        <v>11</v>
      </c>
      <c r="Y111">
        <v>120</v>
      </c>
    </row>
    <row r="112" spans="1:25">
      <c r="A112" s="2">
        <v>45368</v>
      </c>
      <c r="B112" s="3" t="s">
        <v>11</v>
      </c>
      <c r="C112" s="4">
        <v>120</v>
      </c>
      <c r="D112" s="3">
        <v>0</v>
      </c>
      <c r="E112" s="3" t="s">
        <v>13</v>
      </c>
      <c r="F112" s="3" t="s">
        <v>14</v>
      </c>
      <c r="G112" s="3" t="s">
        <v>15</v>
      </c>
      <c r="H112" s="15" t="str">
        <f>TEXT(A112,"MMM-YYYY")</f>
        <v>Mar-2024</v>
      </c>
      <c r="I112">
        <f t="shared" si="1"/>
        <v>11</v>
      </c>
      <c r="Y112">
        <v>120</v>
      </c>
    </row>
    <row r="113" spans="1:25">
      <c r="A113" s="2">
        <v>45368</v>
      </c>
      <c r="B113" s="3" t="s">
        <v>33</v>
      </c>
      <c r="C113" s="4">
        <v>1003.2</v>
      </c>
      <c r="D113" s="3">
        <v>0</v>
      </c>
      <c r="E113" s="3" t="s">
        <v>35</v>
      </c>
      <c r="F113" s="3" t="s">
        <v>36</v>
      </c>
      <c r="G113" s="3" t="s">
        <v>15</v>
      </c>
      <c r="H113" s="15" t="str">
        <f>TEXT(A113,"MMM-YYYY")</f>
        <v>Mar-2024</v>
      </c>
      <c r="I113">
        <f t="shared" si="1"/>
        <v>11</v>
      </c>
      <c r="Y113">
        <v>1003.2</v>
      </c>
    </row>
    <row r="114" spans="1:25">
      <c r="A114" s="2">
        <v>45368</v>
      </c>
      <c r="B114" s="3" t="s">
        <v>81</v>
      </c>
      <c r="C114" s="4">
        <v>2397.6</v>
      </c>
      <c r="D114" s="3">
        <v>0</v>
      </c>
      <c r="E114" s="3" t="s">
        <v>39</v>
      </c>
      <c r="F114" s="3" t="s">
        <v>36</v>
      </c>
      <c r="G114" s="3" t="s">
        <v>15</v>
      </c>
      <c r="H114" s="15" t="str">
        <f>TEXT(A114,"MMM-YYYY")</f>
        <v>Mar-2024</v>
      </c>
      <c r="I114">
        <f t="shared" si="1"/>
        <v>11</v>
      </c>
      <c r="Y114">
        <v>2397.6</v>
      </c>
    </row>
    <row r="115" spans="1:25">
      <c r="A115" s="2">
        <v>45368</v>
      </c>
      <c r="B115" s="3" t="s">
        <v>40</v>
      </c>
      <c r="C115" s="4">
        <v>1296</v>
      </c>
      <c r="D115" s="3">
        <v>0</v>
      </c>
      <c r="E115" s="3" t="s">
        <v>42</v>
      </c>
      <c r="F115" s="3" t="s">
        <v>14</v>
      </c>
      <c r="G115" s="3" t="s">
        <v>15</v>
      </c>
      <c r="H115" s="15" t="str">
        <f>TEXT(A115,"MMM-YYYY")</f>
        <v>Mar-2024</v>
      </c>
      <c r="I115">
        <f t="shared" si="1"/>
        <v>11</v>
      </c>
      <c r="Y115">
        <v>1296</v>
      </c>
    </row>
    <row r="116" spans="1:25">
      <c r="A116" s="2">
        <v>45369</v>
      </c>
      <c r="B116" s="3" t="s">
        <v>43</v>
      </c>
      <c r="C116" s="4">
        <v>720</v>
      </c>
      <c r="D116" s="3">
        <v>0</v>
      </c>
      <c r="E116" s="3" t="s">
        <v>45</v>
      </c>
      <c r="F116" s="3" t="s">
        <v>23</v>
      </c>
      <c r="G116" s="3" t="s">
        <v>15</v>
      </c>
      <c r="H116" s="15" t="str">
        <f>TEXT(A116,"MMM-YYYY")</f>
        <v>Mar-2024</v>
      </c>
      <c r="I116">
        <f t="shared" si="1"/>
        <v>12</v>
      </c>
      <c r="Y116">
        <v>720</v>
      </c>
    </row>
    <row r="117" spans="1:25">
      <c r="A117" s="2">
        <v>45370</v>
      </c>
      <c r="B117" s="3" t="s">
        <v>46</v>
      </c>
      <c r="C117" s="4">
        <v>0</v>
      </c>
      <c r="D117" s="3">
        <v>24000</v>
      </c>
      <c r="E117" s="3" t="s">
        <v>48</v>
      </c>
      <c r="F117" s="3" t="s">
        <v>49</v>
      </c>
      <c r="G117" s="3" t="s">
        <v>10</v>
      </c>
      <c r="H117" s="15" t="str">
        <f>TEXT(A117,"MMM-YYYY")</f>
        <v>Mar-2024</v>
      </c>
      <c r="I117">
        <f t="shared" si="1"/>
        <v>12</v>
      </c>
      <c r="Y117">
        <v>0</v>
      </c>
    </row>
    <row r="118" spans="1:25">
      <c r="A118" s="2">
        <v>45370</v>
      </c>
      <c r="B118" s="3" t="s">
        <v>11</v>
      </c>
      <c r="C118" s="4">
        <v>120</v>
      </c>
      <c r="D118" s="3">
        <v>0</v>
      </c>
      <c r="E118" s="3" t="s">
        <v>13</v>
      </c>
      <c r="F118" s="3" t="s">
        <v>14</v>
      </c>
      <c r="G118" s="3" t="s">
        <v>15</v>
      </c>
      <c r="H118" s="15" t="str">
        <f>TEXT(A118,"MMM-YYYY")</f>
        <v>Mar-2024</v>
      </c>
      <c r="I118">
        <f t="shared" si="1"/>
        <v>12</v>
      </c>
      <c r="Y118">
        <v>120</v>
      </c>
    </row>
    <row r="119" spans="1:25">
      <c r="A119" s="2">
        <v>45371</v>
      </c>
      <c r="B119" s="3" t="s">
        <v>11</v>
      </c>
      <c r="C119" s="4">
        <v>120</v>
      </c>
      <c r="D119" s="3">
        <v>0</v>
      </c>
      <c r="E119" s="3" t="s">
        <v>13</v>
      </c>
      <c r="F119" s="3" t="s">
        <v>14</v>
      </c>
      <c r="G119" s="3" t="s">
        <v>15</v>
      </c>
      <c r="H119" s="15" t="str">
        <f>TEXT(A119,"MMM-YYYY")</f>
        <v>Mar-2024</v>
      </c>
      <c r="I119">
        <f t="shared" si="1"/>
        <v>12</v>
      </c>
      <c r="Y119">
        <v>120</v>
      </c>
    </row>
    <row r="120" spans="1:25">
      <c r="A120" s="2">
        <v>45371</v>
      </c>
      <c r="B120" s="3" t="s">
        <v>106</v>
      </c>
      <c r="C120" s="4">
        <v>1800</v>
      </c>
      <c r="D120" s="3">
        <v>0</v>
      </c>
      <c r="E120" s="3" t="s">
        <v>108</v>
      </c>
      <c r="F120" s="3" t="s">
        <v>109</v>
      </c>
      <c r="G120" s="3" t="s">
        <v>15</v>
      </c>
      <c r="H120" s="15" t="str">
        <f>TEXT(A120,"MMM-YYYY")</f>
        <v>Mar-2024</v>
      </c>
      <c r="I120">
        <f t="shared" si="1"/>
        <v>12</v>
      </c>
      <c r="Y120">
        <v>1800</v>
      </c>
    </row>
    <row r="121" spans="1:25">
      <c r="A121" s="2">
        <v>45371</v>
      </c>
      <c r="B121" s="3" t="s">
        <v>51</v>
      </c>
      <c r="C121" s="4">
        <v>960</v>
      </c>
      <c r="D121" s="3">
        <v>0</v>
      </c>
      <c r="E121" s="3" t="s">
        <v>51</v>
      </c>
      <c r="F121" s="3" t="s">
        <v>19</v>
      </c>
      <c r="G121" s="3" t="s">
        <v>15</v>
      </c>
      <c r="H121" s="15" t="str">
        <f>TEXT(A121,"MMM-YYYY")</f>
        <v>Mar-2024</v>
      </c>
      <c r="I121">
        <f t="shared" si="1"/>
        <v>12</v>
      </c>
      <c r="Y121">
        <v>960</v>
      </c>
    </row>
    <row r="122" spans="1:25">
      <c r="A122" s="2">
        <v>45372</v>
      </c>
      <c r="B122" s="3" t="s">
        <v>52</v>
      </c>
      <c r="C122" s="4">
        <v>1123.2</v>
      </c>
      <c r="D122" s="3">
        <v>0</v>
      </c>
      <c r="E122" s="3" t="s">
        <v>54</v>
      </c>
      <c r="F122" s="3" t="s">
        <v>36</v>
      </c>
      <c r="G122" s="3" t="s">
        <v>15</v>
      </c>
      <c r="H122" s="15" t="str">
        <f>TEXT(A122,"MMM-YYYY")</f>
        <v>Mar-2024</v>
      </c>
      <c r="I122">
        <f t="shared" si="1"/>
        <v>12</v>
      </c>
      <c r="Y122">
        <v>1123.2</v>
      </c>
    </row>
    <row r="123" spans="1:25">
      <c r="A123" s="2">
        <v>45372</v>
      </c>
      <c r="B123" s="3" t="s">
        <v>55</v>
      </c>
      <c r="C123" s="4">
        <v>840</v>
      </c>
      <c r="D123" s="3">
        <v>0</v>
      </c>
      <c r="E123" s="3" t="s">
        <v>35</v>
      </c>
      <c r="F123" s="3" t="s">
        <v>36</v>
      </c>
      <c r="G123" s="3" t="s">
        <v>15</v>
      </c>
      <c r="H123" s="15" t="str">
        <f>TEXT(A123,"MMM-YYYY")</f>
        <v>Mar-2024</v>
      </c>
      <c r="I123">
        <f t="shared" si="1"/>
        <v>12</v>
      </c>
      <c r="Y123">
        <v>840</v>
      </c>
    </row>
    <row r="124" spans="1:25">
      <c r="A124" s="2">
        <v>45372</v>
      </c>
      <c r="B124" s="3" t="s">
        <v>11</v>
      </c>
      <c r="C124" s="4">
        <v>120</v>
      </c>
      <c r="D124" s="3">
        <v>0</v>
      </c>
      <c r="E124" s="3" t="s">
        <v>13</v>
      </c>
      <c r="F124" s="3" t="s">
        <v>14</v>
      </c>
      <c r="G124" s="3" t="s">
        <v>15</v>
      </c>
      <c r="H124" s="15" t="str">
        <f>TEXT(A124,"MMM-YYYY")</f>
        <v>Mar-2024</v>
      </c>
      <c r="I124">
        <f t="shared" si="1"/>
        <v>12</v>
      </c>
      <c r="Y124">
        <v>120</v>
      </c>
    </row>
    <row r="125" spans="1:25">
      <c r="A125" s="2">
        <v>45373</v>
      </c>
      <c r="B125" s="3" t="s">
        <v>11</v>
      </c>
      <c r="C125" s="4">
        <v>120</v>
      </c>
      <c r="D125" s="3">
        <v>0</v>
      </c>
      <c r="E125" s="3" t="s">
        <v>13</v>
      </c>
      <c r="F125" s="3" t="s">
        <v>14</v>
      </c>
      <c r="G125" s="3" t="s">
        <v>15</v>
      </c>
      <c r="H125" s="15" t="str">
        <f>TEXT(A125,"MMM-YYYY")</f>
        <v>Mar-2024</v>
      </c>
      <c r="I125">
        <f t="shared" si="1"/>
        <v>12</v>
      </c>
      <c r="Y125">
        <v>120</v>
      </c>
    </row>
    <row r="126" spans="1:25">
      <c r="A126" s="2">
        <v>45374</v>
      </c>
      <c r="B126" s="3" t="s">
        <v>11</v>
      </c>
      <c r="C126" s="4">
        <v>120</v>
      </c>
      <c r="D126" s="3">
        <v>0</v>
      </c>
      <c r="E126" s="3" t="s">
        <v>13</v>
      </c>
      <c r="F126" s="3" t="s">
        <v>14</v>
      </c>
      <c r="G126" s="3" t="s">
        <v>15</v>
      </c>
      <c r="H126" s="15" t="str">
        <f>TEXT(A126,"MMM-YYYY")</f>
        <v>Mar-2024</v>
      </c>
      <c r="I126">
        <f t="shared" si="1"/>
        <v>12</v>
      </c>
      <c r="Y126">
        <v>120</v>
      </c>
    </row>
    <row r="127" spans="1:25">
      <c r="A127" s="2">
        <v>45374</v>
      </c>
      <c r="B127" s="3" t="s">
        <v>24</v>
      </c>
      <c r="C127" s="4">
        <v>4125.6000000000004</v>
      </c>
      <c r="D127" s="3">
        <v>0</v>
      </c>
      <c r="E127" s="3" t="s">
        <v>26</v>
      </c>
      <c r="F127" s="3" t="s">
        <v>19</v>
      </c>
      <c r="G127" s="3" t="s">
        <v>15</v>
      </c>
      <c r="H127" s="15" t="str">
        <f>TEXT(A127,"MMM-YYYY")</f>
        <v>Mar-2024</v>
      </c>
      <c r="I127">
        <f t="shared" si="1"/>
        <v>12</v>
      </c>
      <c r="Y127">
        <v>4125.6000000000004</v>
      </c>
    </row>
    <row r="128" spans="1:25">
      <c r="A128" s="2">
        <v>45375</v>
      </c>
      <c r="B128" s="3" t="s">
        <v>58</v>
      </c>
      <c r="C128" s="4">
        <v>936</v>
      </c>
      <c r="D128" s="3">
        <v>0</v>
      </c>
      <c r="E128" s="3" t="s">
        <v>42</v>
      </c>
      <c r="F128" s="3" t="s">
        <v>14</v>
      </c>
      <c r="G128" s="3" t="s">
        <v>15</v>
      </c>
      <c r="H128" s="15" t="str">
        <f>TEXT(A128,"MMM-YYYY")</f>
        <v>Mar-2024</v>
      </c>
      <c r="I128">
        <f t="shared" si="1"/>
        <v>12</v>
      </c>
      <c r="Y128">
        <v>936</v>
      </c>
    </row>
    <row r="129" spans="1:25">
      <c r="A129" s="2">
        <v>45376</v>
      </c>
      <c r="B129" s="3" t="s">
        <v>60</v>
      </c>
      <c r="C129" s="4">
        <v>336</v>
      </c>
      <c r="D129" s="3">
        <v>0</v>
      </c>
      <c r="E129" s="3" t="s">
        <v>42</v>
      </c>
      <c r="F129" s="3" t="s">
        <v>14</v>
      </c>
      <c r="G129" s="3" t="s">
        <v>15</v>
      </c>
      <c r="H129" s="15" t="str">
        <f>TEXT(A129,"MMM-YYYY")</f>
        <v>Mar-2024</v>
      </c>
      <c r="I129">
        <f t="shared" si="1"/>
        <v>13</v>
      </c>
      <c r="Y129">
        <v>336</v>
      </c>
    </row>
    <row r="130" spans="1:25">
      <c r="A130" s="2">
        <v>45377</v>
      </c>
      <c r="B130" s="3" t="s">
        <v>62</v>
      </c>
      <c r="C130" s="4">
        <v>1320</v>
      </c>
      <c r="D130" s="3">
        <v>0</v>
      </c>
      <c r="E130" s="3" t="s">
        <v>64</v>
      </c>
      <c r="F130" s="3" t="s">
        <v>65</v>
      </c>
      <c r="G130" s="3" t="s">
        <v>15</v>
      </c>
      <c r="H130" s="15" t="str">
        <f>TEXT(A130,"MMM-YYYY")</f>
        <v>Mar-2024</v>
      </c>
      <c r="I130">
        <f t="shared" si="1"/>
        <v>13</v>
      </c>
      <c r="Y130">
        <v>1320</v>
      </c>
    </row>
    <row r="131" spans="1:25">
      <c r="A131" s="2">
        <v>45377</v>
      </c>
      <c r="B131" s="3" t="s">
        <v>30</v>
      </c>
      <c r="C131" s="4">
        <v>1560</v>
      </c>
      <c r="D131" s="3">
        <v>0</v>
      </c>
      <c r="E131" s="3" t="s">
        <v>67</v>
      </c>
      <c r="F131" s="3" t="s">
        <v>23</v>
      </c>
      <c r="G131" s="3" t="s">
        <v>15</v>
      </c>
      <c r="H131" s="15" t="str">
        <f>TEXT(A131,"MMM-YYYY")</f>
        <v>Mar-2024</v>
      </c>
      <c r="I131">
        <f t="shared" ref="I131:I194" si="2">WEEKNUM(A131,2)</f>
        <v>13</v>
      </c>
      <c r="Y131">
        <v>1560</v>
      </c>
    </row>
    <row r="132" spans="1:25">
      <c r="A132" s="2">
        <v>45377</v>
      </c>
      <c r="B132" s="3" t="s">
        <v>11</v>
      </c>
      <c r="C132" s="4">
        <v>120</v>
      </c>
      <c r="D132" s="3">
        <v>0</v>
      </c>
      <c r="E132" s="3" t="s">
        <v>13</v>
      </c>
      <c r="F132" s="3" t="s">
        <v>14</v>
      </c>
      <c r="G132" s="3" t="s">
        <v>15</v>
      </c>
      <c r="H132" s="15" t="str">
        <f>TEXT(A132,"MMM-YYYY")</f>
        <v>Mar-2024</v>
      </c>
      <c r="I132">
        <f t="shared" si="2"/>
        <v>13</v>
      </c>
      <c r="Y132">
        <v>120</v>
      </c>
    </row>
    <row r="133" spans="1:25">
      <c r="A133" s="2">
        <v>45378</v>
      </c>
      <c r="B133" s="3" t="s">
        <v>11</v>
      </c>
      <c r="C133" s="4">
        <v>120</v>
      </c>
      <c r="D133" s="3">
        <v>0</v>
      </c>
      <c r="E133" s="3" t="s">
        <v>13</v>
      </c>
      <c r="F133" s="3" t="s">
        <v>14</v>
      </c>
      <c r="G133" s="3" t="s">
        <v>15</v>
      </c>
      <c r="H133" s="15" t="str">
        <f>TEXT(A133,"MMM-YYYY")</f>
        <v>Mar-2024</v>
      </c>
      <c r="I133">
        <f t="shared" si="2"/>
        <v>13</v>
      </c>
      <c r="Y133">
        <v>120</v>
      </c>
    </row>
    <row r="134" spans="1:25">
      <c r="A134" s="2">
        <v>45379</v>
      </c>
      <c r="B134" s="3" t="s">
        <v>11</v>
      </c>
      <c r="C134" s="4">
        <v>120</v>
      </c>
      <c r="D134" s="3">
        <v>0</v>
      </c>
      <c r="E134" s="3" t="s">
        <v>13</v>
      </c>
      <c r="F134" s="3" t="s">
        <v>14</v>
      </c>
      <c r="G134" s="3" t="s">
        <v>15</v>
      </c>
      <c r="H134" s="15" t="str">
        <f>TEXT(A134,"MMM-YYYY")</f>
        <v>Mar-2024</v>
      </c>
      <c r="I134">
        <f t="shared" si="2"/>
        <v>13</v>
      </c>
      <c r="Y134">
        <v>120</v>
      </c>
    </row>
    <row r="135" spans="1:25">
      <c r="A135" s="2">
        <v>45380</v>
      </c>
      <c r="B135" s="3" t="s">
        <v>11</v>
      </c>
      <c r="C135" s="4">
        <v>120</v>
      </c>
      <c r="D135" s="3">
        <v>0</v>
      </c>
      <c r="E135" s="3" t="s">
        <v>13</v>
      </c>
      <c r="F135" s="3" t="s">
        <v>14</v>
      </c>
      <c r="G135" s="3" t="s">
        <v>15</v>
      </c>
      <c r="H135" s="15" t="str">
        <f>TEXT(A135,"MMM-YYYY")</f>
        <v>Mar-2024</v>
      </c>
      <c r="I135">
        <f t="shared" si="2"/>
        <v>13</v>
      </c>
      <c r="Y135">
        <v>120</v>
      </c>
    </row>
    <row r="136" spans="1:25">
      <c r="A136" s="2">
        <v>45381</v>
      </c>
      <c r="B136" s="3" t="s">
        <v>11</v>
      </c>
      <c r="C136" s="4">
        <v>120</v>
      </c>
      <c r="D136" s="3">
        <v>0</v>
      </c>
      <c r="E136" s="3" t="s">
        <v>13</v>
      </c>
      <c r="F136" s="3" t="s">
        <v>14</v>
      </c>
      <c r="G136" s="3" t="s">
        <v>15</v>
      </c>
      <c r="H136" s="15" t="str">
        <f>TEXT(A136,"MMM-YYYY")</f>
        <v>Mar-2024</v>
      </c>
      <c r="I136">
        <f t="shared" si="2"/>
        <v>13</v>
      </c>
      <c r="Y136">
        <v>120</v>
      </c>
    </row>
    <row r="137" spans="1:25">
      <c r="A137" s="2">
        <v>45381</v>
      </c>
      <c r="B137" s="3" t="s">
        <v>24</v>
      </c>
      <c r="C137" s="4">
        <v>5016</v>
      </c>
      <c r="D137" s="3">
        <v>0</v>
      </c>
      <c r="E137" s="3" t="s">
        <v>26</v>
      </c>
      <c r="F137" s="3" t="s">
        <v>19</v>
      </c>
      <c r="G137" s="3" t="s">
        <v>15</v>
      </c>
      <c r="H137" s="15" t="str">
        <f>TEXT(A137,"MMM-YYYY")</f>
        <v>Mar-2024</v>
      </c>
      <c r="I137">
        <f t="shared" si="2"/>
        <v>13</v>
      </c>
      <c r="Y137">
        <v>5016</v>
      </c>
    </row>
    <row r="138" spans="1:25">
      <c r="A138" s="2">
        <v>45382</v>
      </c>
      <c r="B138" s="3" t="s">
        <v>69</v>
      </c>
      <c r="C138" s="4">
        <v>3048</v>
      </c>
      <c r="D138" s="3">
        <v>0</v>
      </c>
      <c r="E138" s="3" t="s">
        <v>39</v>
      </c>
      <c r="F138" s="3" t="s">
        <v>36</v>
      </c>
      <c r="G138" s="3" t="s">
        <v>15</v>
      </c>
      <c r="H138" s="15" t="str">
        <f>TEXT(A138,"MMM-YYYY")</f>
        <v>Mar-2024</v>
      </c>
      <c r="I138">
        <f t="shared" si="2"/>
        <v>13</v>
      </c>
      <c r="Y138">
        <v>3048</v>
      </c>
    </row>
    <row r="139" spans="1:25">
      <c r="A139" s="2">
        <v>45382</v>
      </c>
      <c r="B139" s="3" t="s">
        <v>117</v>
      </c>
      <c r="C139" s="4">
        <v>4252.8</v>
      </c>
      <c r="D139" s="3">
        <v>0</v>
      </c>
      <c r="E139" s="3" t="s">
        <v>39</v>
      </c>
      <c r="F139" s="3" t="s">
        <v>36</v>
      </c>
      <c r="G139" s="3" t="s">
        <v>15</v>
      </c>
      <c r="H139" s="15" t="str">
        <f>TEXT(A139,"MMM-YYYY")</f>
        <v>Mar-2024</v>
      </c>
      <c r="I139">
        <f t="shared" si="2"/>
        <v>13</v>
      </c>
      <c r="Y139">
        <v>4252.8</v>
      </c>
    </row>
    <row r="140" spans="1:25">
      <c r="A140" s="2">
        <v>45383</v>
      </c>
      <c r="B140" s="3" t="s">
        <v>37</v>
      </c>
      <c r="C140" s="4">
        <v>3530.4</v>
      </c>
      <c r="D140" s="3">
        <v>0</v>
      </c>
      <c r="E140" s="3" t="s">
        <v>39</v>
      </c>
      <c r="F140" s="3" t="s">
        <v>36</v>
      </c>
      <c r="G140" s="3" t="s">
        <v>15</v>
      </c>
      <c r="H140" s="15" t="str">
        <f>TEXT(A140,"MMM-YYYY")</f>
        <v>Apr-2024</v>
      </c>
      <c r="I140">
        <f t="shared" si="2"/>
        <v>14</v>
      </c>
      <c r="Y140">
        <v>3530.4</v>
      </c>
    </row>
    <row r="141" spans="1:25">
      <c r="A141" s="2">
        <v>45383</v>
      </c>
      <c r="B141" s="3" t="s">
        <v>43</v>
      </c>
      <c r="C141" s="4">
        <v>600</v>
      </c>
      <c r="D141" s="3">
        <v>0</v>
      </c>
      <c r="E141" s="3" t="s">
        <v>45</v>
      </c>
      <c r="F141" s="3" t="s">
        <v>23</v>
      </c>
      <c r="G141" s="3" t="s">
        <v>15</v>
      </c>
      <c r="H141" s="15" t="str">
        <f>TEXT(A141,"MMM-YYYY")</f>
        <v>Apr-2024</v>
      </c>
      <c r="I141">
        <f t="shared" si="2"/>
        <v>14</v>
      </c>
      <c r="Y141">
        <v>600</v>
      </c>
    </row>
    <row r="142" spans="1:25">
      <c r="A142" s="2">
        <v>45384</v>
      </c>
      <c r="B142" s="3" t="s">
        <v>121</v>
      </c>
      <c r="C142" s="4">
        <v>360</v>
      </c>
      <c r="D142" s="3">
        <v>0</v>
      </c>
      <c r="E142" s="3" t="s">
        <v>42</v>
      </c>
      <c r="F142" s="3" t="s">
        <v>14</v>
      </c>
      <c r="G142" s="3" t="s">
        <v>15</v>
      </c>
      <c r="H142" s="15" t="str">
        <f>TEXT(A142,"MMM-YYYY")</f>
        <v>Apr-2024</v>
      </c>
      <c r="I142">
        <f t="shared" si="2"/>
        <v>14</v>
      </c>
      <c r="Y142">
        <v>360</v>
      </c>
    </row>
    <row r="143" spans="1:25">
      <c r="A143" s="2">
        <v>45385</v>
      </c>
      <c r="B143" s="3" t="s">
        <v>11</v>
      </c>
      <c r="C143" s="4">
        <v>120</v>
      </c>
      <c r="D143" s="3">
        <v>0</v>
      </c>
      <c r="E143" s="3" t="s">
        <v>13</v>
      </c>
      <c r="F143" s="3" t="s">
        <v>14</v>
      </c>
      <c r="G143" s="3" t="s">
        <v>15</v>
      </c>
      <c r="H143" s="15" t="str">
        <f>TEXT(A143,"MMM-YYYY")</f>
        <v>Apr-2024</v>
      </c>
      <c r="I143">
        <f t="shared" si="2"/>
        <v>14</v>
      </c>
      <c r="Y143">
        <v>120</v>
      </c>
    </row>
    <row r="144" spans="1:25">
      <c r="A144" s="2">
        <v>45386</v>
      </c>
      <c r="B144" s="3" t="s">
        <v>11</v>
      </c>
      <c r="C144" s="4">
        <v>120</v>
      </c>
      <c r="D144" s="3">
        <v>0</v>
      </c>
      <c r="E144" s="3" t="s">
        <v>13</v>
      </c>
      <c r="F144" s="3" t="s">
        <v>14</v>
      </c>
      <c r="G144" s="3" t="s">
        <v>15</v>
      </c>
      <c r="H144" s="15" t="str">
        <f>TEXT(A144,"MMM-YYYY")</f>
        <v>Apr-2024</v>
      </c>
      <c r="I144">
        <f t="shared" si="2"/>
        <v>14</v>
      </c>
      <c r="Y144">
        <v>120</v>
      </c>
    </row>
    <row r="145" spans="1:25">
      <c r="A145" s="2">
        <v>45387</v>
      </c>
      <c r="B145" s="3" t="s">
        <v>7</v>
      </c>
      <c r="C145" s="4">
        <v>0</v>
      </c>
      <c r="D145" s="3">
        <v>120000</v>
      </c>
      <c r="E145" s="3" t="s">
        <v>75</v>
      </c>
      <c r="F145" s="3" t="s">
        <v>9</v>
      </c>
      <c r="G145" s="3" t="s">
        <v>10</v>
      </c>
      <c r="H145" s="15" t="str">
        <f>TEXT(A145,"MMM-YYYY")</f>
        <v>Apr-2024</v>
      </c>
      <c r="I145">
        <f t="shared" si="2"/>
        <v>14</v>
      </c>
      <c r="Y145">
        <v>0</v>
      </c>
    </row>
    <row r="146" spans="1:25">
      <c r="A146" s="2">
        <v>45387</v>
      </c>
      <c r="B146" s="3" t="s">
        <v>11</v>
      </c>
      <c r="C146" s="4">
        <v>120</v>
      </c>
      <c r="D146" s="3">
        <v>0</v>
      </c>
      <c r="E146" s="3" t="s">
        <v>13</v>
      </c>
      <c r="F146" s="3" t="s">
        <v>14</v>
      </c>
      <c r="G146" s="3" t="s">
        <v>15</v>
      </c>
      <c r="H146" s="15" t="str">
        <f>TEXT(A146,"MMM-YYYY")</f>
        <v>Apr-2024</v>
      </c>
      <c r="I146">
        <f t="shared" si="2"/>
        <v>14</v>
      </c>
      <c r="Y146">
        <v>120</v>
      </c>
    </row>
    <row r="147" spans="1:25">
      <c r="A147" s="2">
        <v>45388</v>
      </c>
      <c r="B147" s="3" t="s">
        <v>16</v>
      </c>
      <c r="C147" s="4">
        <v>21600</v>
      </c>
      <c r="D147" s="3">
        <v>0</v>
      </c>
      <c r="E147" s="3" t="s">
        <v>18</v>
      </c>
      <c r="F147" s="3" t="s">
        <v>19</v>
      </c>
      <c r="G147" s="3" t="s">
        <v>15</v>
      </c>
      <c r="H147" s="15" t="str">
        <f>TEXT(A147,"MMM-YYYY")</f>
        <v>Apr-2024</v>
      </c>
      <c r="I147">
        <f t="shared" si="2"/>
        <v>14</v>
      </c>
      <c r="Y147">
        <v>21600</v>
      </c>
    </row>
    <row r="148" spans="1:25">
      <c r="A148" s="2">
        <v>45388</v>
      </c>
      <c r="B148" s="3" t="s">
        <v>20</v>
      </c>
      <c r="C148" s="4">
        <v>3600</v>
      </c>
      <c r="D148" s="3">
        <v>0</v>
      </c>
      <c r="E148" s="3" t="s">
        <v>22</v>
      </c>
      <c r="F148" s="3" t="s">
        <v>23</v>
      </c>
      <c r="G148" s="3" t="s">
        <v>15</v>
      </c>
      <c r="H148" s="15" t="str">
        <f>TEXT(A148,"MMM-YYYY")</f>
        <v>Apr-2024</v>
      </c>
      <c r="I148">
        <f t="shared" si="2"/>
        <v>14</v>
      </c>
      <c r="Y148">
        <v>3600</v>
      </c>
    </row>
    <row r="149" spans="1:25">
      <c r="A149" s="2">
        <v>45388</v>
      </c>
      <c r="B149" s="3" t="s">
        <v>11</v>
      </c>
      <c r="C149" s="4">
        <v>120</v>
      </c>
      <c r="D149" s="3">
        <v>0</v>
      </c>
      <c r="E149" s="3" t="s">
        <v>13</v>
      </c>
      <c r="F149" s="3" t="s">
        <v>14</v>
      </c>
      <c r="G149" s="3" t="s">
        <v>15</v>
      </c>
      <c r="H149" s="15" t="str">
        <f>TEXT(A149,"MMM-YYYY")</f>
        <v>Apr-2024</v>
      </c>
      <c r="I149">
        <f t="shared" si="2"/>
        <v>14</v>
      </c>
      <c r="Y149">
        <v>120</v>
      </c>
    </row>
    <row r="150" spans="1:25">
      <c r="A150" s="2">
        <v>45389</v>
      </c>
      <c r="B150" s="3" t="s">
        <v>11</v>
      </c>
      <c r="C150" s="4">
        <v>120</v>
      </c>
      <c r="D150" s="3">
        <v>0</v>
      </c>
      <c r="E150" s="3" t="s">
        <v>13</v>
      </c>
      <c r="F150" s="3" t="s">
        <v>14</v>
      </c>
      <c r="G150" s="3" t="s">
        <v>15</v>
      </c>
      <c r="H150" s="15" t="str">
        <f>TEXT(A150,"MMM-YYYY")</f>
        <v>Apr-2024</v>
      </c>
      <c r="I150">
        <f t="shared" si="2"/>
        <v>14</v>
      </c>
      <c r="Y150">
        <v>120</v>
      </c>
    </row>
    <row r="151" spans="1:25">
      <c r="A151" s="2">
        <v>45390</v>
      </c>
      <c r="B151" s="3" t="s">
        <v>11</v>
      </c>
      <c r="C151" s="4">
        <v>120</v>
      </c>
      <c r="D151" s="3">
        <v>0</v>
      </c>
      <c r="E151" s="3" t="s">
        <v>13</v>
      </c>
      <c r="F151" s="3" t="s">
        <v>14</v>
      </c>
      <c r="G151" s="3" t="s">
        <v>15</v>
      </c>
      <c r="H151" s="15" t="str">
        <f>TEXT(A151,"MMM-YYYY")</f>
        <v>Apr-2024</v>
      </c>
      <c r="I151">
        <f t="shared" si="2"/>
        <v>15</v>
      </c>
      <c r="Y151">
        <v>120</v>
      </c>
    </row>
    <row r="152" spans="1:25">
      <c r="A152" s="2">
        <v>45391</v>
      </c>
      <c r="B152" s="3" t="s">
        <v>11</v>
      </c>
      <c r="C152" s="4">
        <v>120</v>
      </c>
      <c r="D152" s="3">
        <v>0</v>
      </c>
      <c r="E152" s="3" t="s">
        <v>13</v>
      </c>
      <c r="F152" s="3" t="s">
        <v>14</v>
      </c>
      <c r="G152" s="3" t="s">
        <v>15</v>
      </c>
      <c r="H152" s="15" t="str">
        <f>TEXT(A152,"MMM-YYYY")</f>
        <v>Apr-2024</v>
      </c>
      <c r="I152">
        <f t="shared" si="2"/>
        <v>15</v>
      </c>
      <c r="Y152">
        <v>120</v>
      </c>
    </row>
    <row r="153" spans="1:25">
      <c r="A153" s="2">
        <v>45391</v>
      </c>
      <c r="B153" s="3" t="s">
        <v>24</v>
      </c>
      <c r="C153" s="4">
        <v>3796.8</v>
      </c>
      <c r="D153" s="3">
        <v>0</v>
      </c>
      <c r="E153" s="3" t="s">
        <v>26</v>
      </c>
      <c r="F153" s="3" t="s">
        <v>19</v>
      </c>
      <c r="G153" s="3" t="s">
        <v>15</v>
      </c>
      <c r="H153" s="15" t="str">
        <f>TEXT(A153,"MMM-YYYY")</f>
        <v>Apr-2024</v>
      </c>
      <c r="I153">
        <f t="shared" si="2"/>
        <v>15</v>
      </c>
      <c r="Y153">
        <v>3796.8</v>
      </c>
    </row>
    <row r="154" spans="1:25">
      <c r="A154" s="2">
        <v>45394</v>
      </c>
      <c r="B154" s="3" t="s">
        <v>27</v>
      </c>
      <c r="C154" s="4">
        <v>1276.8</v>
      </c>
      <c r="D154" s="3">
        <v>0</v>
      </c>
      <c r="E154" s="3" t="s">
        <v>29</v>
      </c>
      <c r="F154" s="3" t="s">
        <v>19</v>
      </c>
      <c r="G154" s="3" t="s">
        <v>15</v>
      </c>
      <c r="H154" s="15" t="str">
        <f>TEXT(A154,"MMM-YYYY")</f>
        <v>Apr-2024</v>
      </c>
      <c r="I154">
        <f t="shared" si="2"/>
        <v>15</v>
      </c>
      <c r="Y154">
        <v>1276.8</v>
      </c>
    </row>
    <row r="155" spans="1:25">
      <c r="A155" s="2">
        <v>45394</v>
      </c>
      <c r="B155" s="3" t="s">
        <v>11</v>
      </c>
      <c r="C155" s="4">
        <v>120</v>
      </c>
      <c r="D155" s="3">
        <v>0</v>
      </c>
      <c r="E155" s="3" t="s">
        <v>13</v>
      </c>
      <c r="F155" s="3" t="s">
        <v>14</v>
      </c>
      <c r="G155" s="3" t="s">
        <v>15</v>
      </c>
      <c r="H155" s="15" t="str">
        <f>TEXT(A155,"MMM-YYYY")</f>
        <v>Apr-2024</v>
      </c>
      <c r="I155">
        <f t="shared" si="2"/>
        <v>15</v>
      </c>
      <c r="Y155">
        <v>120</v>
      </c>
    </row>
    <row r="156" spans="1:25">
      <c r="A156" s="2">
        <v>45395</v>
      </c>
      <c r="B156" s="3" t="s">
        <v>11</v>
      </c>
      <c r="C156" s="4">
        <v>120</v>
      </c>
      <c r="D156" s="3">
        <v>0</v>
      </c>
      <c r="E156" s="3" t="s">
        <v>13</v>
      </c>
      <c r="F156" s="3" t="s">
        <v>14</v>
      </c>
      <c r="G156" s="3" t="s">
        <v>15</v>
      </c>
      <c r="H156" s="15" t="str">
        <f>TEXT(A156,"MMM-YYYY")</f>
        <v>Apr-2024</v>
      </c>
      <c r="I156">
        <f t="shared" si="2"/>
        <v>15</v>
      </c>
      <c r="Y156">
        <v>120</v>
      </c>
    </row>
    <row r="157" spans="1:25">
      <c r="A157" s="2">
        <v>45396</v>
      </c>
      <c r="B157" s="3" t="s">
        <v>30</v>
      </c>
      <c r="C157" s="4">
        <v>1917.6</v>
      </c>
      <c r="D157" s="3">
        <v>0</v>
      </c>
      <c r="E157" s="3" t="s">
        <v>67</v>
      </c>
      <c r="F157" s="3" t="s">
        <v>23</v>
      </c>
      <c r="G157" s="3" t="s">
        <v>15</v>
      </c>
      <c r="H157" s="15" t="str">
        <f>TEXT(A157,"MMM-YYYY")</f>
        <v>Apr-2024</v>
      </c>
      <c r="I157">
        <f t="shared" si="2"/>
        <v>15</v>
      </c>
      <c r="Y157">
        <v>1917.6</v>
      </c>
    </row>
    <row r="158" spans="1:25">
      <c r="A158" s="2">
        <v>45396</v>
      </c>
      <c r="B158" s="3" t="s">
        <v>11</v>
      </c>
      <c r="C158" s="4">
        <v>120</v>
      </c>
      <c r="D158" s="3">
        <v>0</v>
      </c>
      <c r="E158" s="3" t="s">
        <v>13</v>
      </c>
      <c r="F158" s="3" t="s">
        <v>14</v>
      </c>
      <c r="G158" s="3" t="s">
        <v>15</v>
      </c>
      <c r="H158" s="15" t="str">
        <f>TEXT(A158,"MMM-YYYY")</f>
        <v>Apr-2024</v>
      </c>
      <c r="I158">
        <f t="shared" si="2"/>
        <v>15</v>
      </c>
      <c r="Y158">
        <v>120</v>
      </c>
    </row>
    <row r="159" spans="1:25">
      <c r="A159" s="2">
        <v>45397</v>
      </c>
      <c r="B159" s="3" t="s">
        <v>11</v>
      </c>
      <c r="C159" s="4">
        <v>120</v>
      </c>
      <c r="D159" s="3">
        <v>0</v>
      </c>
      <c r="E159" s="3" t="s">
        <v>13</v>
      </c>
      <c r="F159" s="3" t="s">
        <v>14</v>
      </c>
      <c r="G159" s="3" t="s">
        <v>15</v>
      </c>
      <c r="H159" s="15" t="str">
        <f>TEXT(A159,"MMM-YYYY")</f>
        <v>Apr-2024</v>
      </c>
      <c r="I159">
        <f t="shared" si="2"/>
        <v>16</v>
      </c>
      <c r="Y159">
        <v>120</v>
      </c>
    </row>
    <row r="160" spans="1:25">
      <c r="A160" s="2">
        <v>45398</v>
      </c>
      <c r="B160" s="3" t="s">
        <v>24</v>
      </c>
      <c r="C160" s="4">
        <v>2352</v>
      </c>
      <c r="D160" s="3">
        <v>0</v>
      </c>
      <c r="E160" s="3" t="s">
        <v>26</v>
      </c>
      <c r="F160" s="3" t="s">
        <v>19</v>
      </c>
      <c r="G160" s="3" t="s">
        <v>15</v>
      </c>
      <c r="H160" s="15" t="str">
        <f>TEXT(A160,"MMM-YYYY")</f>
        <v>Apr-2024</v>
      </c>
      <c r="I160">
        <f t="shared" si="2"/>
        <v>16</v>
      </c>
      <c r="Y160">
        <v>2352</v>
      </c>
    </row>
    <row r="161" spans="1:25">
      <c r="A161" s="2">
        <v>45398</v>
      </c>
      <c r="B161" s="3" t="s">
        <v>11</v>
      </c>
      <c r="C161" s="4">
        <v>120</v>
      </c>
      <c r="D161" s="3">
        <v>0</v>
      </c>
      <c r="E161" s="3" t="s">
        <v>13</v>
      </c>
      <c r="F161" s="3" t="s">
        <v>14</v>
      </c>
      <c r="G161" s="3" t="s">
        <v>15</v>
      </c>
      <c r="H161" s="15" t="str">
        <f>TEXT(A161,"MMM-YYYY")</f>
        <v>Apr-2024</v>
      </c>
      <c r="I161">
        <f t="shared" si="2"/>
        <v>16</v>
      </c>
      <c r="Y161">
        <v>120</v>
      </c>
    </row>
    <row r="162" spans="1:25">
      <c r="A162" s="2">
        <v>45399</v>
      </c>
      <c r="B162" s="3" t="s">
        <v>11</v>
      </c>
      <c r="C162" s="4">
        <v>120</v>
      </c>
      <c r="D162" s="3">
        <v>0</v>
      </c>
      <c r="E162" s="3" t="s">
        <v>13</v>
      </c>
      <c r="F162" s="3" t="s">
        <v>14</v>
      </c>
      <c r="G162" s="3" t="s">
        <v>15</v>
      </c>
      <c r="H162" s="15" t="str">
        <f>TEXT(A162,"MMM-YYYY")</f>
        <v>Apr-2024</v>
      </c>
      <c r="I162">
        <f t="shared" si="2"/>
        <v>16</v>
      </c>
      <c r="Y162">
        <v>120</v>
      </c>
    </row>
    <row r="163" spans="1:25">
      <c r="A163" s="2">
        <v>45399</v>
      </c>
      <c r="B163" s="3" t="s">
        <v>33</v>
      </c>
      <c r="C163" s="4">
        <v>1027.2</v>
      </c>
      <c r="D163" s="3">
        <v>0</v>
      </c>
      <c r="E163" s="3" t="s">
        <v>35</v>
      </c>
      <c r="F163" s="3" t="s">
        <v>36</v>
      </c>
      <c r="G163" s="3" t="s">
        <v>15</v>
      </c>
      <c r="H163" s="15" t="str">
        <f>TEXT(A163,"MMM-YYYY")</f>
        <v>Apr-2024</v>
      </c>
      <c r="I163">
        <f t="shared" si="2"/>
        <v>16</v>
      </c>
      <c r="Y163">
        <v>1027.2</v>
      </c>
    </row>
    <row r="164" spans="1:25">
      <c r="A164" s="2">
        <v>45399</v>
      </c>
      <c r="B164" s="3" t="s">
        <v>81</v>
      </c>
      <c r="C164" s="4">
        <v>2421.6</v>
      </c>
      <c r="D164" s="3">
        <v>0</v>
      </c>
      <c r="E164" s="3" t="s">
        <v>39</v>
      </c>
      <c r="F164" s="3" t="s">
        <v>36</v>
      </c>
      <c r="G164" s="3" t="s">
        <v>15</v>
      </c>
      <c r="H164" s="15" t="str">
        <f>TEXT(A164,"MMM-YYYY")</f>
        <v>Apr-2024</v>
      </c>
      <c r="I164">
        <f t="shared" si="2"/>
        <v>16</v>
      </c>
      <c r="Y164">
        <v>2421.6</v>
      </c>
    </row>
    <row r="165" spans="1:25">
      <c r="A165" s="2">
        <v>45399</v>
      </c>
      <c r="B165" s="3" t="s">
        <v>40</v>
      </c>
      <c r="C165" s="4">
        <v>1317.6</v>
      </c>
      <c r="D165" s="3">
        <v>0</v>
      </c>
      <c r="E165" s="3" t="s">
        <v>42</v>
      </c>
      <c r="F165" s="3" t="s">
        <v>14</v>
      </c>
      <c r="G165" s="3" t="s">
        <v>15</v>
      </c>
      <c r="H165" s="15" t="str">
        <f>TEXT(A165,"MMM-YYYY")</f>
        <v>Apr-2024</v>
      </c>
      <c r="I165">
        <f t="shared" si="2"/>
        <v>16</v>
      </c>
      <c r="Y165">
        <v>1317.6</v>
      </c>
    </row>
    <row r="166" spans="1:25">
      <c r="A166" s="2">
        <v>45400</v>
      </c>
      <c r="B166" s="3" t="s">
        <v>43</v>
      </c>
      <c r="C166" s="4">
        <v>744</v>
      </c>
      <c r="D166" s="3">
        <v>0</v>
      </c>
      <c r="E166" s="3" t="s">
        <v>45</v>
      </c>
      <c r="F166" s="3" t="s">
        <v>23</v>
      </c>
      <c r="G166" s="3" t="s">
        <v>15</v>
      </c>
      <c r="H166" s="15" t="str">
        <f>TEXT(A166,"MMM-YYYY")</f>
        <v>Apr-2024</v>
      </c>
      <c r="I166">
        <f t="shared" si="2"/>
        <v>16</v>
      </c>
      <c r="Y166">
        <v>744</v>
      </c>
    </row>
    <row r="167" spans="1:25">
      <c r="A167" s="2">
        <v>45401</v>
      </c>
      <c r="B167" s="3" t="s">
        <v>46</v>
      </c>
      <c r="C167" s="4">
        <v>0</v>
      </c>
      <c r="D167" s="3">
        <v>56160</v>
      </c>
      <c r="E167" s="3" t="s">
        <v>48</v>
      </c>
      <c r="F167" s="3" t="s">
        <v>49</v>
      </c>
      <c r="G167" s="3" t="s">
        <v>10</v>
      </c>
      <c r="H167" s="15" t="str">
        <f>TEXT(A167,"MMM-YYYY")</f>
        <v>Apr-2024</v>
      </c>
      <c r="I167">
        <f t="shared" si="2"/>
        <v>16</v>
      </c>
      <c r="Y167">
        <v>0</v>
      </c>
    </row>
    <row r="168" spans="1:25">
      <c r="A168" s="2">
        <v>45401</v>
      </c>
      <c r="B168" s="3" t="s">
        <v>11</v>
      </c>
      <c r="C168" s="4">
        <v>120</v>
      </c>
      <c r="D168" s="3">
        <v>0</v>
      </c>
      <c r="E168" s="3" t="s">
        <v>13</v>
      </c>
      <c r="F168" s="3" t="s">
        <v>14</v>
      </c>
      <c r="G168" s="3" t="s">
        <v>15</v>
      </c>
      <c r="H168" s="15" t="str">
        <f>TEXT(A168,"MMM-YYYY")</f>
        <v>Apr-2024</v>
      </c>
      <c r="I168">
        <f t="shared" si="2"/>
        <v>16</v>
      </c>
      <c r="Y168">
        <v>120</v>
      </c>
    </row>
    <row r="169" spans="1:25">
      <c r="A169" s="2">
        <v>45402</v>
      </c>
      <c r="B169" s="3" t="s">
        <v>11</v>
      </c>
      <c r="C169" s="4">
        <v>120</v>
      </c>
      <c r="D169" s="3">
        <v>0</v>
      </c>
      <c r="E169" s="3" t="s">
        <v>13</v>
      </c>
      <c r="F169" s="3" t="s">
        <v>14</v>
      </c>
      <c r="G169" s="3" t="s">
        <v>15</v>
      </c>
      <c r="H169" s="15" t="str">
        <f>TEXT(A169,"MMM-YYYY")</f>
        <v>Apr-2024</v>
      </c>
      <c r="I169">
        <f t="shared" si="2"/>
        <v>16</v>
      </c>
      <c r="Y169">
        <v>120</v>
      </c>
    </row>
    <row r="170" spans="1:25">
      <c r="A170" s="2">
        <v>45402</v>
      </c>
      <c r="B170" s="3" t="s">
        <v>51</v>
      </c>
      <c r="C170" s="4">
        <v>960</v>
      </c>
      <c r="D170" s="3">
        <v>0</v>
      </c>
      <c r="E170" s="3" t="s">
        <v>51</v>
      </c>
      <c r="F170" s="3" t="s">
        <v>19</v>
      </c>
      <c r="G170" s="3" t="s">
        <v>15</v>
      </c>
      <c r="H170" s="15" t="str">
        <f>TEXT(A170,"MMM-YYYY")</f>
        <v>Apr-2024</v>
      </c>
      <c r="I170">
        <f t="shared" si="2"/>
        <v>16</v>
      </c>
      <c r="Y170">
        <v>960</v>
      </c>
    </row>
    <row r="171" spans="1:25">
      <c r="A171" s="2">
        <v>45403</v>
      </c>
      <c r="B171" s="3" t="s">
        <v>52</v>
      </c>
      <c r="C171" s="4">
        <v>1149.5999999999999</v>
      </c>
      <c r="D171" s="3">
        <v>0</v>
      </c>
      <c r="E171" s="3" t="s">
        <v>54</v>
      </c>
      <c r="F171" s="3" t="s">
        <v>36</v>
      </c>
      <c r="G171" s="3" t="s">
        <v>15</v>
      </c>
      <c r="H171" s="15" t="str">
        <f>TEXT(A171,"MMM-YYYY")</f>
        <v>Apr-2024</v>
      </c>
      <c r="I171">
        <f t="shared" si="2"/>
        <v>16</v>
      </c>
      <c r="Y171">
        <v>1149.5999999999999</v>
      </c>
    </row>
    <row r="172" spans="1:25">
      <c r="A172" s="2">
        <v>45403</v>
      </c>
      <c r="B172" s="3" t="s">
        <v>55</v>
      </c>
      <c r="C172" s="4">
        <v>840</v>
      </c>
      <c r="D172" s="3">
        <v>0</v>
      </c>
      <c r="E172" s="3" t="s">
        <v>35</v>
      </c>
      <c r="F172" s="3" t="s">
        <v>36</v>
      </c>
      <c r="G172" s="3" t="s">
        <v>15</v>
      </c>
      <c r="H172" s="15" t="str">
        <f>TEXT(A172,"MMM-YYYY")</f>
        <v>Apr-2024</v>
      </c>
      <c r="I172">
        <f t="shared" si="2"/>
        <v>16</v>
      </c>
      <c r="Y172">
        <v>840</v>
      </c>
    </row>
    <row r="173" spans="1:25">
      <c r="A173" s="2">
        <v>45403</v>
      </c>
      <c r="B173" s="3" t="s">
        <v>11</v>
      </c>
      <c r="C173" s="4">
        <v>120</v>
      </c>
      <c r="D173" s="3">
        <v>0</v>
      </c>
      <c r="E173" s="3" t="s">
        <v>13</v>
      </c>
      <c r="F173" s="3" t="s">
        <v>14</v>
      </c>
      <c r="G173" s="3" t="s">
        <v>15</v>
      </c>
      <c r="H173" s="15" t="str">
        <f>TEXT(A173,"MMM-YYYY")</f>
        <v>Apr-2024</v>
      </c>
      <c r="I173">
        <f t="shared" si="2"/>
        <v>16</v>
      </c>
      <c r="Y173">
        <v>120</v>
      </c>
    </row>
    <row r="174" spans="1:25">
      <c r="A174" s="2">
        <v>45404</v>
      </c>
      <c r="B174" s="3" t="s">
        <v>11</v>
      </c>
      <c r="C174" s="4">
        <v>120</v>
      </c>
      <c r="D174" s="3">
        <v>0</v>
      </c>
      <c r="E174" s="3" t="s">
        <v>13</v>
      </c>
      <c r="F174" s="3" t="s">
        <v>14</v>
      </c>
      <c r="G174" s="3" t="s">
        <v>15</v>
      </c>
      <c r="H174" s="15" t="str">
        <f>TEXT(A174,"MMM-YYYY")</f>
        <v>Apr-2024</v>
      </c>
      <c r="I174">
        <f t="shared" si="2"/>
        <v>17</v>
      </c>
      <c r="Y174">
        <v>120</v>
      </c>
    </row>
    <row r="175" spans="1:25">
      <c r="A175" s="2">
        <v>45405</v>
      </c>
      <c r="B175" s="3" t="s">
        <v>11</v>
      </c>
      <c r="C175" s="4">
        <v>120</v>
      </c>
      <c r="D175" s="3">
        <v>0</v>
      </c>
      <c r="E175" s="3" t="s">
        <v>13</v>
      </c>
      <c r="F175" s="3" t="s">
        <v>14</v>
      </c>
      <c r="G175" s="3" t="s">
        <v>15</v>
      </c>
      <c r="H175" s="15" t="str">
        <f>TEXT(A175,"MMM-YYYY")</f>
        <v>Apr-2024</v>
      </c>
      <c r="I175">
        <f t="shared" si="2"/>
        <v>17</v>
      </c>
      <c r="Y175">
        <v>120</v>
      </c>
    </row>
    <row r="176" spans="1:25">
      <c r="A176" s="2">
        <v>45405</v>
      </c>
      <c r="B176" s="3" t="s">
        <v>24</v>
      </c>
      <c r="C176" s="4">
        <v>4152</v>
      </c>
      <c r="D176" s="3">
        <v>0</v>
      </c>
      <c r="E176" s="3" t="s">
        <v>26</v>
      </c>
      <c r="F176" s="3" t="s">
        <v>19</v>
      </c>
      <c r="G176" s="3" t="s">
        <v>15</v>
      </c>
      <c r="H176" s="15" t="str">
        <f>TEXT(A176,"MMM-YYYY")</f>
        <v>Apr-2024</v>
      </c>
      <c r="I176">
        <f t="shared" si="2"/>
        <v>17</v>
      </c>
      <c r="Y176">
        <v>4152</v>
      </c>
    </row>
    <row r="177" spans="1:25">
      <c r="A177" s="2">
        <v>45406</v>
      </c>
      <c r="B177" s="3" t="s">
        <v>58</v>
      </c>
      <c r="C177" s="4">
        <v>962.4</v>
      </c>
      <c r="D177" s="3">
        <v>0</v>
      </c>
      <c r="E177" s="3" t="s">
        <v>42</v>
      </c>
      <c r="F177" s="3" t="s">
        <v>14</v>
      </c>
      <c r="G177" s="3" t="s">
        <v>15</v>
      </c>
      <c r="H177" s="15" t="str">
        <f>TEXT(A177,"MMM-YYYY")</f>
        <v>Apr-2024</v>
      </c>
      <c r="I177">
        <f t="shared" si="2"/>
        <v>17</v>
      </c>
      <c r="Y177">
        <v>962.4</v>
      </c>
    </row>
    <row r="178" spans="1:25">
      <c r="A178" s="2">
        <v>45407</v>
      </c>
      <c r="B178" s="3" t="s">
        <v>60</v>
      </c>
      <c r="C178" s="4">
        <v>362.4</v>
      </c>
      <c r="D178" s="3">
        <v>0</v>
      </c>
      <c r="E178" s="3" t="s">
        <v>42</v>
      </c>
      <c r="F178" s="3" t="s">
        <v>14</v>
      </c>
      <c r="G178" s="3" t="s">
        <v>15</v>
      </c>
      <c r="H178" s="15" t="str">
        <f>TEXT(A178,"MMM-YYYY")</f>
        <v>Apr-2024</v>
      </c>
      <c r="I178">
        <f t="shared" si="2"/>
        <v>17</v>
      </c>
      <c r="Y178">
        <v>362.4</v>
      </c>
    </row>
    <row r="179" spans="1:25">
      <c r="A179" s="2">
        <v>45408</v>
      </c>
      <c r="B179" s="3" t="s">
        <v>62</v>
      </c>
      <c r="C179" s="4">
        <v>1320</v>
      </c>
      <c r="D179" s="3">
        <v>0</v>
      </c>
      <c r="E179" s="3" t="s">
        <v>64</v>
      </c>
      <c r="F179" s="3" t="s">
        <v>65</v>
      </c>
      <c r="G179" s="3" t="s">
        <v>15</v>
      </c>
      <c r="H179" s="15" t="str">
        <f>TEXT(A179,"MMM-YYYY")</f>
        <v>Apr-2024</v>
      </c>
      <c r="I179">
        <f t="shared" si="2"/>
        <v>17</v>
      </c>
      <c r="Y179">
        <v>1320</v>
      </c>
    </row>
    <row r="180" spans="1:25">
      <c r="A180" s="2">
        <v>45408</v>
      </c>
      <c r="B180" s="3" t="s">
        <v>30</v>
      </c>
      <c r="C180" s="4">
        <v>1584</v>
      </c>
      <c r="D180" s="3">
        <v>0</v>
      </c>
      <c r="E180" s="3" t="s">
        <v>67</v>
      </c>
      <c r="F180" s="3" t="s">
        <v>23</v>
      </c>
      <c r="G180" s="3" t="s">
        <v>15</v>
      </c>
      <c r="H180" s="15" t="str">
        <f>TEXT(A180,"MMM-YYYY")</f>
        <v>Apr-2024</v>
      </c>
      <c r="I180">
        <f t="shared" si="2"/>
        <v>17</v>
      </c>
      <c r="Y180">
        <v>1584</v>
      </c>
    </row>
    <row r="181" spans="1:25">
      <c r="A181" s="2">
        <v>45408</v>
      </c>
      <c r="B181" s="3" t="s">
        <v>11</v>
      </c>
      <c r="C181" s="4">
        <v>120</v>
      </c>
      <c r="D181" s="3">
        <v>0</v>
      </c>
      <c r="E181" s="3" t="s">
        <v>13</v>
      </c>
      <c r="F181" s="3" t="s">
        <v>14</v>
      </c>
      <c r="G181" s="3" t="s">
        <v>15</v>
      </c>
      <c r="H181" s="15" t="str">
        <f>TEXT(A181,"MMM-YYYY")</f>
        <v>Apr-2024</v>
      </c>
      <c r="I181">
        <f t="shared" si="2"/>
        <v>17</v>
      </c>
      <c r="Y181">
        <v>120</v>
      </c>
    </row>
    <row r="182" spans="1:25">
      <c r="A182" s="2">
        <v>45409</v>
      </c>
      <c r="B182" s="3" t="s">
        <v>11</v>
      </c>
      <c r="C182" s="4">
        <v>120</v>
      </c>
      <c r="D182" s="3">
        <v>0</v>
      </c>
      <c r="E182" s="3" t="s">
        <v>13</v>
      </c>
      <c r="F182" s="3" t="s">
        <v>14</v>
      </c>
      <c r="G182" s="3" t="s">
        <v>15</v>
      </c>
      <c r="H182" s="15" t="str">
        <f>TEXT(A182,"MMM-YYYY")</f>
        <v>Apr-2024</v>
      </c>
      <c r="I182">
        <f t="shared" si="2"/>
        <v>17</v>
      </c>
      <c r="Y182">
        <v>120</v>
      </c>
    </row>
    <row r="183" spans="1:25">
      <c r="A183" s="2">
        <v>45410</v>
      </c>
      <c r="B183" s="3" t="s">
        <v>11</v>
      </c>
      <c r="C183" s="4">
        <v>120</v>
      </c>
      <c r="D183" s="3">
        <v>0</v>
      </c>
      <c r="E183" s="3" t="s">
        <v>13</v>
      </c>
      <c r="F183" s="3" t="s">
        <v>14</v>
      </c>
      <c r="G183" s="3" t="s">
        <v>15</v>
      </c>
      <c r="H183" s="15" t="str">
        <f>TEXT(A183,"MMM-YYYY")</f>
        <v>Apr-2024</v>
      </c>
      <c r="I183">
        <f t="shared" si="2"/>
        <v>17</v>
      </c>
      <c r="Y183">
        <v>120</v>
      </c>
    </row>
    <row r="184" spans="1:25">
      <c r="A184" s="2">
        <v>45411</v>
      </c>
      <c r="B184" s="3" t="s">
        <v>11</v>
      </c>
      <c r="C184" s="4">
        <v>120</v>
      </c>
      <c r="D184" s="3">
        <v>0</v>
      </c>
      <c r="E184" s="3" t="s">
        <v>13</v>
      </c>
      <c r="F184" s="3" t="s">
        <v>14</v>
      </c>
      <c r="G184" s="3" t="s">
        <v>15</v>
      </c>
      <c r="H184" s="15" t="str">
        <f>TEXT(A184,"MMM-YYYY")</f>
        <v>Apr-2024</v>
      </c>
      <c r="I184">
        <f t="shared" si="2"/>
        <v>18</v>
      </c>
      <c r="Y184">
        <v>120</v>
      </c>
    </row>
    <row r="185" spans="1:25">
      <c r="A185" s="2">
        <v>45412</v>
      </c>
      <c r="B185" s="3" t="s">
        <v>11</v>
      </c>
      <c r="C185" s="4">
        <v>120</v>
      </c>
      <c r="D185" s="3">
        <v>0</v>
      </c>
      <c r="E185" s="3" t="s">
        <v>13</v>
      </c>
      <c r="F185" s="3" t="s">
        <v>14</v>
      </c>
      <c r="G185" s="3" t="s">
        <v>15</v>
      </c>
      <c r="H185" s="15" t="str">
        <f>TEXT(A185,"MMM-YYYY")</f>
        <v>Apr-2024</v>
      </c>
      <c r="I185">
        <f t="shared" si="2"/>
        <v>18</v>
      </c>
      <c r="Y185">
        <v>120</v>
      </c>
    </row>
    <row r="186" spans="1:25">
      <c r="A186" s="2">
        <v>45412</v>
      </c>
      <c r="B186" s="3" t="s">
        <v>24</v>
      </c>
      <c r="C186" s="4">
        <v>3957.6</v>
      </c>
      <c r="D186" s="3">
        <v>0</v>
      </c>
      <c r="E186" s="3" t="s">
        <v>26</v>
      </c>
      <c r="F186" s="3" t="s">
        <v>19</v>
      </c>
      <c r="G186" s="3" t="s">
        <v>15</v>
      </c>
      <c r="H186" s="15" t="str">
        <f>TEXT(A186,"MMM-YYYY")</f>
        <v>Apr-2024</v>
      </c>
      <c r="I186">
        <f t="shared" si="2"/>
        <v>18</v>
      </c>
      <c r="Y186">
        <v>3957.6</v>
      </c>
    </row>
    <row r="187" spans="1:25">
      <c r="A187" s="2">
        <v>45413</v>
      </c>
      <c r="B187" s="3" t="s">
        <v>69</v>
      </c>
      <c r="C187" s="4">
        <v>3069.6</v>
      </c>
      <c r="D187" s="3">
        <v>0</v>
      </c>
      <c r="E187" s="3" t="s">
        <v>39</v>
      </c>
      <c r="F187" s="3" t="s">
        <v>36</v>
      </c>
      <c r="G187" s="3" t="s">
        <v>15</v>
      </c>
      <c r="H187" s="15" t="str">
        <f t="shared" ref="H187:H250" si="3">TEXT(A187,"MMM-YYYY")</f>
        <v>May-2024</v>
      </c>
      <c r="I187">
        <f t="shared" si="2"/>
        <v>18</v>
      </c>
      <c r="Y187">
        <v>3069.6</v>
      </c>
    </row>
    <row r="188" spans="1:25">
      <c r="A188" s="2">
        <v>45413</v>
      </c>
      <c r="B188" s="3" t="s">
        <v>138</v>
      </c>
      <c r="C188" s="4">
        <v>7200</v>
      </c>
      <c r="D188" s="3">
        <v>0</v>
      </c>
      <c r="E188" s="3" t="s">
        <v>35</v>
      </c>
      <c r="F188" s="3" t="s">
        <v>36</v>
      </c>
      <c r="G188" s="3" t="s">
        <v>15</v>
      </c>
      <c r="H188" s="15" t="str">
        <f t="shared" si="3"/>
        <v>May-2024</v>
      </c>
      <c r="I188">
        <f t="shared" si="2"/>
        <v>18</v>
      </c>
      <c r="Y188">
        <v>7200</v>
      </c>
    </row>
    <row r="189" spans="1:25">
      <c r="A189" s="2">
        <v>45414</v>
      </c>
      <c r="B189" s="3" t="s">
        <v>37</v>
      </c>
      <c r="C189" s="4">
        <v>3554.4</v>
      </c>
      <c r="D189" s="3">
        <v>0</v>
      </c>
      <c r="E189" s="3" t="s">
        <v>39</v>
      </c>
      <c r="F189" s="3" t="s">
        <v>36</v>
      </c>
      <c r="G189" s="3" t="s">
        <v>15</v>
      </c>
      <c r="H189" s="15" t="str">
        <f t="shared" si="3"/>
        <v>May-2024</v>
      </c>
      <c r="I189">
        <f t="shared" si="2"/>
        <v>18</v>
      </c>
      <c r="Y189">
        <v>3554.4</v>
      </c>
    </row>
    <row r="190" spans="1:25">
      <c r="A190" s="2">
        <v>45414</v>
      </c>
      <c r="B190" s="3" t="s">
        <v>43</v>
      </c>
      <c r="C190" s="4">
        <v>626.4</v>
      </c>
      <c r="D190" s="3">
        <v>0</v>
      </c>
      <c r="E190" s="3" t="s">
        <v>45</v>
      </c>
      <c r="F190" s="3" t="s">
        <v>23</v>
      </c>
      <c r="G190" s="3" t="s">
        <v>15</v>
      </c>
      <c r="H190" s="15" t="str">
        <f t="shared" si="3"/>
        <v>May-2024</v>
      </c>
      <c r="I190">
        <f t="shared" si="2"/>
        <v>18</v>
      </c>
      <c r="Y190">
        <v>626.4</v>
      </c>
    </row>
    <row r="191" spans="1:25">
      <c r="A191" s="2">
        <v>45415</v>
      </c>
      <c r="B191" s="3" t="s">
        <v>121</v>
      </c>
      <c r="C191" s="4">
        <v>360</v>
      </c>
      <c r="D191" s="3">
        <v>0</v>
      </c>
      <c r="E191" s="3" t="s">
        <v>42</v>
      </c>
      <c r="F191" s="3" t="s">
        <v>14</v>
      </c>
      <c r="G191" s="3" t="s">
        <v>15</v>
      </c>
      <c r="H191" s="15" t="str">
        <f t="shared" si="3"/>
        <v>May-2024</v>
      </c>
      <c r="I191">
        <f t="shared" si="2"/>
        <v>18</v>
      </c>
      <c r="Y191">
        <v>360</v>
      </c>
    </row>
    <row r="192" spans="1:25">
      <c r="A192" s="2">
        <v>45415</v>
      </c>
      <c r="B192" s="3" t="s">
        <v>11</v>
      </c>
      <c r="C192" s="4">
        <v>120</v>
      </c>
      <c r="D192" s="3">
        <v>0</v>
      </c>
      <c r="E192" s="3" t="s">
        <v>13</v>
      </c>
      <c r="F192" s="3" t="s">
        <v>14</v>
      </c>
      <c r="G192" s="3" t="s">
        <v>15</v>
      </c>
      <c r="H192" s="15" t="str">
        <f t="shared" si="3"/>
        <v>May-2024</v>
      </c>
      <c r="I192">
        <f t="shared" si="2"/>
        <v>18</v>
      </c>
      <c r="Y192">
        <v>120</v>
      </c>
    </row>
    <row r="193" spans="1:25">
      <c r="A193" s="2">
        <v>45416</v>
      </c>
      <c r="B193" s="3" t="s">
        <v>11</v>
      </c>
      <c r="C193" s="4">
        <v>120</v>
      </c>
      <c r="D193" s="3">
        <v>0</v>
      </c>
      <c r="E193" s="3" t="s">
        <v>13</v>
      </c>
      <c r="F193" s="3" t="s">
        <v>14</v>
      </c>
      <c r="G193" s="3" t="s">
        <v>15</v>
      </c>
      <c r="H193" s="15" t="str">
        <f t="shared" si="3"/>
        <v>May-2024</v>
      </c>
      <c r="I193">
        <f t="shared" si="2"/>
        <v>18</v>
      </c>
      <c r="Y193">
        <v>120</v>
      </c>
    </row>
    <row r="194" spans="1:25">
      <c r="A194" s="2">
        <v>45418</v>
      </c>
      <c r="B194" s="3" t="s">
        <v>11</v>
      </c>
      <c r="C194" s="4">
        <v>120</v>
      </c>
      <c r="D194" s="3">
        <v>0</v>
      </c>
      <c r="E194" s="3" t="s">
        <v>13</v>
      </c>
      <c r="F194" s="3" t="s">
        <v>14</v>
      </c>
      <c r="G194" s="3" t="s">
        <v>15</v>
      </c>
      <c r="H194" s="15" t="str">
        <f t="shared" si="3"/>
        <v>May-2024</v>
      </c>
      <c r="I194">
        <f t="shared" si="2"/>
        <v>19</v>
      </c>
      <c r="Y194">
        <v>120</v>
      </c>
    </row>
    <row r="195" spans="1:25">
      <c r="A195" s="2">
        <v>45419</v>
      </c>
      <c r="B195" s="3" t="s">
        <v>7</v>
      </c>
      <c r="C195" s="4">
        <v>0</v>
      </c>
      <c r="D195" s="3">
        <v>120000</v>
      </c>
      <c r="E195" s="3" t="s">
        <v>75</v>
      </c>
      <c r="F195" s="3" t="s">
        <v>9</v>
      </c>
      <c r="G195" s="3" t="s">
        <v>10</v>
      </c>
      <c r="H195" s="15" t="str">
        <f t="shared" si="3"/>
        <v>May-2024</v>
      </c>
      <c r="I195">
        <f t="shared" ref="I195:I258" si="4">WEEKNUM(A195,2)</f>
        <v>19</v>
      </c>
      <c r="Y195">
        <v>0</v>
      </c>
    </row>
    <row r="196" spans="1:25">
      <c r="A196" s="2">
        <v>45419</v>
      </c>
      <c r="B196" s="3" t="s">
        <v>16</v>
      </c>
      <c r="C196" s="4">
        <v>21600</v>
      </c>
      <c r="D196" s="3">
        <v>0</v>
      </c>
      <c r="E196" s="3" t="s">
        <v>18</v>
      </c>
      <c r="F196" s="3" t="s">
        <v>19</v>
      </c>
      <c r="G196" s="3" t="s">
        <v>15</v>
      </c>
      <c r="H196" s="15" t="str">
        <f t="shared" si="3"/>
        <v>May-2024</v>
      </c>
      <c r="I196">
        <f t="shared" si="4"/>
        <v>19</v>
      </c>
      <c r="Y196">
        <v>21600</v>
      </c>
    </row>
    <row r="197" spans="1:25">
      <c r="A197" s="2">
        <v>45419</v>
      </c>
      <c r="B197" s="3" t="s">
        <v>20</v>
      </c>
      <c r="C197" s="4">
        <v>3600</v>
      </c>
      <c r="D197" s="3">
        <v>0</v>
      </c>
      <c r="E197" s="3" t="s">
        <v>22</v>
      </c>
      <c r="F197" s="3" t="s">
        <v>23</v>
      </c>
      <c r="G197" s="3" t="s">
        <v>15</v>
      </c>
      <c r="H197" s="15" t="str">
        <f t="shared" si="3"/>
        <v>May-2024</v>
      </c>
      <c r="I197">
        <f t="shared" si="4"/>
        <v>19</v>
      </c>
      <c r="Y197">
        <v>3600</v>
      </c>
    </row>
    <row r="198" spans="1:25">
      <c r="A198" s="2">
        <v>45419</v>
      </c>
      <c r="B198" s="3" t="s">
        <v>11</v>
      </c>
      <c r="C198" s="4">
        <v>120</v>
      </c>
      <c r="D198" s="3">
        <v>0</v>
      </c>
      <c r="E198" s="3" t="s">
        <v>13</v>
      </c>
      <c r="F198" s="3" t="s">
        <v>14</v>
      </c>
      <c r="G198" s="3" t="s">
        <v>15</v>
      </c>
      <c r="H198" s="15" t="str">
        <f t="shared" si="3"/>
        <v>May-2024</v>
      </c>
      <c r="I198">
        <f t="shared" si="4"/>
        <v>19</v>
      </c>
      <c r="Y198">
        <v>120</v>
      </c>
    </row>
    <row r="199" spans="1:25">
      <c r="A199" s="2">
        <v>45420</v>
      </c>
      <c r="B199" s="3" t="s">
        <v>11</v>
      </c>
      <c r="C199" s="4">
        <v>120</v>
      </c>
      <c r="D199" s="3">
        <v>0</v>
      </c>
      <c r="E199" s="3" t="s">
        <v>13</v>
      </c>
      <c r="F199" s="3" t="s">
        <v>14</v>
      </c>
      <c r="G199" s="3" t="s">
        <v>15</v>
      </c>
      <c r="H199" s="15" t="str">
        <f t="shared" si="3"/>
        <v>May-2024</v>
      </c>
      <c r="I199">
        <f t="shared" si="4"/>
        <v>19</v>
      </c>
      <c r="Y199">
        <v>120</v>
      </c>
    </row>
    <row r="200" spans="1:25">
      <c r="A200" s="2">
        <v>45421</v>
      </c>
      <c r="B200" s="3" t="s">
        <v>11</v>
      </c>
      <c r="C200" s="4">
        <v>120</v>
      </c>
      <c r="D200" s="3">
        <v>0</v>
      </c>
      <c r="E200" s="3" t="s">
        <v>13</v>
      </c>
      <c r="F200" s="3" t="s">
        <v>14</v>
      </c>
      <c r="G200" s="3" t="s">
        <v>15</v>
      </c>
      <c r="H200" s="15" t="str">
        <f t="shared" si="3"/>
        <v>May-2024</v>
      </c>
      <c r="I200">
        <f t="shared" si="4"/>
        <v>19</v>
      </c>
      <c r="Y200">
        <v>120</v>
      </c>
    </row>
    <row r="201" spans="1:25">
      <c r="A201" s="2">
        <v>45422</v>
      </c>
      <c r="B201" s="3" t="s">
        <v>11</v>
      </c>
      <c r="C201" s="4">
        <v>120</v>
      </c>
      <c r="D201" s="3">
        <v>0</v>
      </c>
      <c r="E201" s="3" t="s">
        <v>13</v>
      </c>
      <c r="F201" s="3" t="s">
        <v>14</v>
      </c>
      <c r="G201" s="3" t="s">
        <v>15</v>
      </c>
      <c r="H201" s="15" t="str">
        <f t="shared" si="3"/>
        <v>May-2024</v>
      </c>
      <c r="I201">
        <f t="shared" si="4"/>
        <v>19</v>
      </c>
      <c r="Y201">
        <v>120</v>
      </c>
    </row>
    <row r="202" spans="1:25">
      <c r="A202" s="2">
        <v>45422</v>
      </c>
      <c r="B202" s="3" t="s">
        <v>24</v>
      </c>
      <c r="C202" s="4">
        <v>4080</v>
      </c>
      <c r="D202" s="3">
        <v>0</v>
      </c>
      <c r="E202" s="3" t="s">
        <v>26</v>
      </c>
      <c r="F202" s="3" t="s">
        <v>19</v>
      </c>
      <c r="G202" s="3" t="s">
        <v>15</v>
      </c>
      <c r="H202" s="15" t="str">
        <f t="shared" si="3"/>
        <v>May-2024</v>
      </c>
      <c r="I202">
        <f t="shared" si="4"/>
        <v>19</v>
      </c>
      <c r="Y202">
        <v>4080</v>
      </c>
    </row>
    <row r="203" spans="1:25">
      <c r="A203" s="2">
        <v>45425</v>
      </c>
      <c r="B203" s="3" t="s">
        <v>27</v>
      </c>
      <c r="C203" s="4">
        <v>1298.4000000000001</v>
      </c>
      <c r="D203" s="3">
        <v>0</v>
      </c>
      <c r="E203" s="3" t="s">
        <v>29</v>
      </c>
      <c r="F203" s="3" t="s">
        <v>19</v>
      </c>
      <c r="G203" s="3" t="s">
        <v>15</v>
      </c>
      <c r="H203" s="15" t="str">
        <f t="shared" si="3"/>
        <v>May-2024</v>
      </c>
      <c r="I203">
        <f t="shared" si="4"/>
        <v>20</v>
      </c>
      <c r="Y203">
        <v>1298.4000000000001</v>
      </c>
    </row>
    <row r="204" spans="1:25">
      <c r="A204" s="2">
        <v>45425</v>
      </c>
      <c r="B204" s="3" t="s">
        <v>11</v>
      </c>
      <c r="C204" s="4">
        <v>120</v>
      </c>
      <c r="D204" s="3">
        <v>0</v>
      </c>
      <c r="E204" s="3" t="s">
        <v>13</v>
      </c>
      <c r="F204" s="3" t="s">
        <v>14</v>
      </c>
      <c r="G204" s="3" t="s">
        <v>15</v>
      </c>
      <c r="H204" s="15" t="str">
        <f t="shared" si="3"/>
        <v>May-2024</v>
      </c>
      <c r="I204">
        <f t="shared" si="4"/>
        <v>20</v>
      </c>
      <c r="Y204">
        <v>120</v>
      </c>
    </row>
    <row r="205" spans="1:25">
      <c r="A205" s="2">
        <v>45426</v>
      </c>
      <c r="B205" s="3" t="s">
        <v>11</v>
      </c>
      <c r="C205" s="4">
        <v>120</v>
      </c>
      <c r="D205" s="3">
        <v>0</v>
      </c>
      <c r="E205" s="3" t="s">
        <v>13</v>
      </c>
      <c r="F205" s="3" t="s">
        <v>14</v>
      </c>
      <c r="G205" s="3" t="s">
        <v>15</v>
      </c>
      <c r="H205" s="15" t="str">
        <f t="shared" si="3"/>
        <v>May-2024</v>
      </c>
      <c r="I205">
        <f t="shared" si="4"/>
        <v>20</v>
      </c>
      <c r="Y205">
        <v>120</v>
      </c>
    </row>
    <row r="206" spans="1:25">
      <c r="A206" s="2">
        <v>45427</v>
      </c>
      <c r="B206" s="3" t="s">
        <v>30</v>
      </c>
      <c r="C206" s="4">
        <v>1944</v>
      </c>
      <c r="D206" s="3">
        <v>0</v>
      </c>
      <c r="E206" s="3" t="s">
        <v>67</v>
      </c>
      <c r="F206" s="3" t="s">
        <v>23</v>
      </c>
      <c r="G206" s="3" t="s">
        <v>15</v>
      </c>
      <c r="H206" s="15" t="str">
        <f t="shared" si="3"/>
        <v>May-2024</v>
      </c>
      <c r="I206">
        <f t="shared" si="4"/>
        <v>20</v>
      </c>
      <c r="Y206">
        <v>1944</v>
      </c>
    </row>
    <row r="207" spans="1:25">
      <c r="A207" s="2">
        <v>45427</v>
      </c>
      <c r="B207" s="3" t="s">
        <v>11</v>
      </c>
      <c r="C207" s="4">
        <v>120</v>
      </c>
      <c r="D207" s="3">
        <v>0</v>
      </c>
      <c r="E207" s="3" t="s">
        <v>13</v>
      </c>
      <c r="F207" s="3" t="s">
        <v>14</v>
      </c>
      <c r="G207" s="3" t="s">
        <v>15</v>
      </c>
      <c r="H207" s="15" t="str">
        <f t="shared" si="3"/>
        <v>May-2024</v>
      </c>
      <c r="I207">
        <f t="shared" si="4"/>
        <v>20</v>
      </c>
      <c r="Y207">
        <v>120</v>
      </c>
    </row>
    <row r="208" spans="1:25">
      <c r="A208" s="2">
        <v>45428</v>
      </c>
      <c r="B208" s="3" t="s">
        <v>11</v>
      </c>
      <c r="C208" s="4">
        <v>120</v>
      </c>
      <c r="D208" s="3">
        <v>0</v>
      </c>
      <c r="E208" s="3" t="s">
        <v>13</v>
      </c>
      <c r="F208" s="3" t="s">
        <v>14</v>
      </c>
      <c r="G208" s="3" t="s">
        <v>15</v>
      </c>
      <c r="H208" s="15" t="str">
        <f t="shared" si="3"/>
        <v>May-2024</v>
      </c>
      <c r="I208">
        <f t="shared" si="4"/>
        <v>20</v>
      </c>
      <c r="Y208">
        <v>120</v>
      </c>
    </row>
    <row r="209" spans="1:25">
      <c r="A209" s="2">
        <v>45429</v>
      </c>
      <c r="B209" s="3" t="s">
        <v>24</v>
      </c>
      <c r="C209" s="4">
        <v>3338.4</v>
      </c>
      <c r="D209" s="3">
        <v>0</v>
      </c>
      <c r="E209" s="3" t="s">
        <v>26</v>
      </c>
      <c r="F209" s="3" t="s">
        <v>19</v>
      </c>
      <c r="G209" s="3" t="s">
        <v>15</v>
      </c>
      <c r="H209" s="15" t="str">
        <f t="shared" si="3"/>
        <v>May-2024</v>
      </c>
      <c r="I209">
        <f t="shared" si="4"/>
        <v>20</v>
      </c>
      <c r="Y209">
        <v>3338.4</v>
      </c>
    </row>
    <row r="210" spans="1:25">
      <c r="A210" s="2">
        <v>45429</v>
      </c>
      <c r="B210" s="3" t="s">
        <v>11</v>
      </c>
      <c r="C210" s="4">
        <v>120</v>
      </c>
      <c r="D210" s="3">
        <v>0</v>
      </c>
      <c r="E210" s="3" t="s">
        <v>13</v>
      </c>
      <c r="F210" s="3" t="s">
        <v>14</v>
      </c>
      <c r="G210" s="3" t="s">
        <v>15</v>
      </c>
      <c r="H210" s="15" t="str">
        <f t="shared" si="3"/>
        <v>May-2024</v>
      </c>
      <c r="I210">
        <f t="shared" si="4"/>
        <v>20</v>
      </c>
      <c r="Y210">
        <v>120</v>
      </c>
    </row>
    <row r="211" spans="1:25">
      <c r="A211" s="2">
        <v>45430</v>
      </c>
      <c r="B211" s="3" t="s">
        <v>11</v>
      </c>
      <c r="C211" s="4">
        <v>120</v>
      </c>
      <c r="D211" s="3">
        <v>0</v>
      </c>
      <c r="E211" s="3" t="s">
        <v>13</v>
      </c>
      <c r="F211" s="3" t="s">
        <v>14</v>
      </c>
      <c r="G211" s="3" t="s">
        <v>15</v>
      </c>
      <c r="H211" s="15" t="str">
        <f t="shared" si="3"/>
        <v>May-2024</v>
      </c>
      <c r="I211">
        <f t="shared" si="4"/>
        <v>20</v>
      </c>
      <c r="Y211">
        <v>120</v>
      </c>
    </row>
    <row r="212" spans="1:25">
      <c r="A212" s="2">
        <v>45430</v>
      </c>
      <c r="B212" s="3" t="s">
        <v>33</v>
      </c>
      <c r="C212" s="4">
        <v>1053.5999999999999</v>
      </c>
      <c r="D212" s="3">
        <v>0</v>
      </c>
      <c r="E212" s="3" t="s">
        <v>35</v>
      </c>
      <c r="F212" s="3" t="s">
        <v>36</v>
      </c>
      <c r="G212" s="3" t="s">
        <v>15</v>
      </c>
      <c r="H212" s="15" t="str">
        <f t="shared" si="3"/>
        <v>May-2024</v>
      </c>
      <c r="I212">
        <f t="shared" si="4"/>
        <v>20</v>
      </c>
      <c r="Y212">
        <v>1053.5999999999999</v>
      </c>
    </row>
    <row r="213" spans="1:25">
      <c r="A213" s="2">
        <v>45430</v>
      </c>
      <c r="B213" s="3" t="s">
        <v>81</v>
      </c>
      <c r="C213" s="4">
        <v>2443.1999999999998</v>
      </c>
      <c r="D213" s="3">
        <v>0</v>
      </c>
      <c r="E213" s="3" t="s">
        <v>39</v>
      </c>
      <c r="F213" s="3" t="s">
        <v>36</v>
      </c>
      <c r="G213" s="3" t="s">
        <v>15</v>
      </c>
      <c r="H213" s="15" t="str">
        <f t="shared" si="3"/>
        <v>May-2024</v>
      </c>
      <c r="I213">
        <f t="shared" si="4"/>
        <v>20</v>
      </c>
      <c r="Y213">
        <v>2443.1999999999998</v>
      </c>
    </row>
    <row r="214" spans="1:25">
      <c r="A214" s="2">
        <v>45430</v>
      </c>
      <c r="B214" s="3" t="s">
        <v>40</v>
      </c>
      <c r="C214" s="4">
        <v>1341.6</v>
      </c>
      <c r="D214" s="3">
        <v>0</v>
      </c>
      <c r="E214" s="3" t="s">
        <v>42</v>
      </c>
      <c r="F214" s="3" t="s">
        <v>14</v>
      </c>
      <c r="G214" s="3" t="s">
        <v>15</v>
      </c>
      <c r="H214" s="15" t="str">
        <f t="shared" si="3"/>
        <v>May-2024</v>
      </c>
      <c r="I214">
        <f t="shared" si="4"/>
        <v>20</v>
      </c>
      <c r="Y214">
        <v>1341.6</v>
      </c>
    </row>
    <row r="215" spans="1:25">
      <c r="A215" s="2">
        <v>45431</v>
      </c>
      <c r="B215" s="3" t="s">
        <v>43</v>
      </c>
      <c r="C215" s="4">
        <v>768</v>
      </c>
      <c r="D215" s="3">
        <v>0</v>
      </c>
      <c r="E215" s="3" t="s">
        <v>45</v>
      </c>
      <c r="F215" s="3" t="s">
        <v>23</v>
      </c>
      <c r="G215" s="3" t="s">
        <v>15</v>
      </c>
      <c r="H215" s="15" t="str">
        <f t="shared" si="3"/>
        <v>May-2024</v>
      </c>
      <c r="I215">
        <f t="shared" si="4"/>
        <v>20</v>
      </c>
      <c r="Y215">
        <v>768</v>
      </c>
    </row>
    <row r="216" spans="1:25">
      <c r="A216" s="2">
        <v>45432</v>
      </c>
      <c r="B216" s="3" t="s">
        <v>46</v>
      </c>
      <c r="C216" s="4">
        <v>0</v>
      </c>
      <c r="D216" s="3">
        <v>24000</v>
      </c>
      <c r="E216" s="3" t="s">
        <v>48</v>
      </c>
      <c r="F216" s="3" t="s">
        <v>49</v>
      </c>
      <c r="G216" s="3" t="s">
        <v>10</v>
      </c>
      <c r="H216" s="15" t="str">
        <f t="shared" si="3"/>
        <v>May-2024</v>
      </c>
      <c r="I216">
        <f t="shared" si="4"/>
        <v>21</v>
      </c>
      <c r="Y216">
        <v>0</v>
      </c>
    </row>
    <row r="217" spans="1:25">
      <c r="A217" s="2">
        <v>45432</v>
      </c>
      <c r="B217" s="3" t="s">
        <v>11</v>
      </c>
      <c r="C217" s="4">
        <v>120</v>
      </c>
      <c r="D217" s="3">
        <v>0</v>
      </c>
      <c r="E217" s="3" t="s">
        <v>13</v>
      </c>
      <c r="F217" s="3" t="s">
        <v>14</v>
      </c>
      <c r="G217" s="3" t="s">
        <v>15</v>
      </c>
      <c r="H217" s="15" t="str">
        <f t="shared" si="3"/>
        <v>May-2024</v>
      </c>
      <c r="I217">
        <f t="shared" si="4"/>
        <v>21</v>
      </c>
      <c r="Y217">
        <v>120</v>
      </c>
    </row>
    <row r="218" spans="1:25">
      <c r="A218" s="2">
        <v>45433</v>
      </c>
      <c r="B218" s="3" t="s">
        <v>11</v>
      </c>
      <c r="C218" s="4">
        <v>120</v>
      </c>
      <c r="D218" s="3">
        <v>0</v>
      </c>
      <c r="E218" s="3" t="s">
        <v>13</v>
      </c>
      <c r="F218" s="3" t="s">
        <v>14</v>
      </c>
      <c r="G218" s="3" t="s">
        <v>15</v>
      </c>
      <c r="H218" s="15" t="str">
        <f t="shared" si="3"/>
        <v>May-2024</v>
      </c>
      <c r="I218">
        <f t="shared" si="4"/>
        <v>21</v>
      </c>
      <c r="Y218">
        <v>120</v>
      </c>
    </row>
    <row r="219" spans="1:25">
      <c r="A219" s="2">
        <v>45433</v>
      </c>
      <c r="B219" s="3" t="s">
        <v>106</v>
      </c>
      <c r="C219" s="4">
        <v>1800</v>
      </c>
      <c r="D219" s="3">
        <v>0</v>
      </c>
      <c r="E219" s="3" t="s">
        <v>108</v>
      </c>
      <c r="F219" s="3" t="s">
        <v>109</v>
      </c>
      <c r="G219" s="3" t="s">
        <v>15</v>
      </c>
      <c r="H219" s="15" t="str">
        <f t="shared" si="3"/>
        <v>May-2024</v>
      </c>
      <c r="I219">
        <f t="shared" si="4"/>
        <v>21</v>
      </c>
      <c r="Y219">
        <v>1800</v>
      </c>
    </row>
    <row r="220" spans="1:25">
      <c r="A220" s="2">
        <v>45433</v>
      </c>
      <c r="B220" s="3" t="s">
        <v>51</v>
      </c>
      <c r="C220" s="4">
        <v>960</v>
      </c>
      <c r="D220" s="3">
        <v>0</v>
      </c>
      <c r="E220" s="3" t="s">
        <v>51</v>
      </c>
      <c r="F220" s="3" t="s">
        <v>19</v>
      </c>
      <c r="G220" s="3" t="s">
        <v>15</v>
      </c>
      <c r="H220" s="15" t="str">
        <f t="shared" si="3"/>
        <v>May-2024</v>
      </c>
      <c r="I220">
        <f t="shared" si="4"/>
        <v>21</v>
      </c>
      <c r="Y220">
        <v>960</v>
      </c>
    </row>
    <row r="221" spans="1:25">
      <c r="A221" s="2">
        <v>45434</v>
      </c>
      <c r="B221" s="3" t="s">
        <v>52</v>
      </c>
      <c r="C221" s="4">
        <v>1176</v>
      </c>
      <c r="D221" s="3">
        <v>0</v>
      </c>
      <c r="E221" s="3" t="s">
        <v>54</v>
      </c>
      <c r="F221" s="3" t="s">
        <v>36</v>
      </c>
      <c r="G221" s="3" t="s">
        <v>15</v>
      </c>
      <c r="H221" s="15" t="str">
        <f t="shared" si="3"/>
        <v>May-2024</v>
      </c>
      <c r="I221">
        <f t="shared" si="4"/>
        <v>21</v>
      </c>
      <c r="Y221">
        <v>1176</v>
      </c>
    </row>
    <row r="222" spans="1:25">
      <c r="A222" s="2">
        <v>45434</v>
      </c>
      <c r="B222" s="3" t="s">
        <v>55</v>
      </c>
      <c r="C222" s="4">
        <v>840</v>
      </c>
      <c r="D222" s="3">
        <v>0</v>
      </c>
      <c r="E222" s="3" t="s">
        <v>35</v>
      </c>
      <c r="F222" s="3" t="s">
        <v>36</v>
      </c>
      <c r="G222" s="3" t="s">
        <v>15</v>
      </c>
      <c r="H222" s="15" t="str">
        <f t="shared" si="3"/>
        <v>May-2024</v>
      </c>
      <c r="I222">
        <f t="shared" si="4"/>
        <v>21</v>
      </c>
      <c r="Y222">
        <v>840</v>
      </c>
    </row>
    <row r="223" spans="1:25">
      <c r="A223" s="2">
        <v>45434</v>
      </c>
      <c r="B223" s="3" t="s">
        <v>11</v>
      </c>
      <c r="C223" s="4">
        <v>120</v>
      </c>
      <c r="D223" s="3">
        <v>0</v>
      </c>
      <c r="E223" s="3" t="s">
        <v>13</v>
      </c>
      <c r="F223" s="3" t="s">
        <v>14</v>
      </c>
      <c r="G223" s="3" t="s">
        <v>15</v>
      </c>
      <c r="H223" s="15" t="str">
        <f t="shared" si="3"/>
        <v>May-2024</v>
      </c>
      <c r="I223">
        <f t="shared" si="4"/>
        <v>21</v>
      </c>
      <c r="Y223">
        <v>120</v>
      </c>
    </row>
    <row r="224" spans="1:25">
      <c r="A224" s="2">
        <v>45435</v>
      </c>
      <c r="B224" s="3" t="s">
        <v>11</v>
      </c>
      <c r="C224" s="4">
        <v>120</v>
      </c>
      <c r="D224" s="3">
        <v>0</v>
      </c>
      <c r="E224" s="3" t="s">
        <v>13</v>
      </c>
      <c r="F224" s="3" t="s">
        <v>14</v>
      </c>
      <c r="G224" s="3" t="s">
        <v>15</v>
      </c>
      <c r="H224" s="15" t="str">
        <f t="shared" si="3"/>
        <v>May-2024</v>
      </c>
      <c r="I224">
        <f t="shared" si="4"/>
        <v>21</v>
      </c>
      <c r="Y224">
        <v>120</v>
      </c>
    </row>
    <row r="225" spans="1:25">
      <c r="A225" s="2">
        <v>45436</v>
      </c>
      <c r="B225" s="3" t="s">
        <v>11</v>
      </c>
      <c r="C225" s="4">
        <v>120</v>
      </c>
      <c r="D225" s="3">
        <v>0</v>
      </c>
      <c r="E225" s="3" t="s">
        <v>13</v>
      </c>
      <c r="F225" s="3" t="s">
        <v>14</v>
      </c>
      <c r="G225" s="3" t="s">
        <v>15</v>
      </c>
      <c r="H225" s="15" t="str">
        <f t="shared" si="3"/>
        <v>May-2024</v>
      </c>
      <c r="I225">
        <f t="shared" si="4"/>
        <v>21</v>
      </c>
      <c r="Y225">
        <v>120</v>
      </c>
    </row>
    <row r="226" spans="1:25">
      <c r="A226" s="2">
        <v>45436</v>
      </c>
      <c r="B226" s="3" t="s">
        <v>24</v>
      </c>
      <c r="C226" s="4">
        <v>4176</v>
      </c>
      <c r="D226" s="3">
        <v>0</v>
      </c>
      <c r="E226" s="3" t="s">
        <v>26</v>
      </c>
      <c r="F226" s="3" t="s">
        <v>19</v>
      </c>
      <c r="G226" s="3" t="s">
        <v>15</v>
      </c>
      <c r="H226" s="15" t="str">
        <f t="shared" si="3"/>
        <v>May-2024</v>
      </c>
      <c r="I226">
        <f t="shared" si="4"/>
        <v>21</v>
      </c>
      <c r="Y226">
        <v>4176</v>
      </c>
    </row>
    <row r="227" spans="1:25">
      <c r="A227" s="2">
        <v>45437</v>
      </c>
      <c r="B227" s="3" t="s">
        <v>58</v>
      </c>
      <c r="C227" s="4">
        <v>986.4</v>
      </c>
      <c r="D227" s="3">
        <v>0</v>
      </c>
      <c r="E227" s="3" t="s">
        <v>42</v>
      </c>
      <c r="F227" s="3" t="s">
        <v>14</v>
      </c>
      <c r="G227" s="3" t="s">
        <v>15</v>
      </c>
      <c r="H227" s="15" t="str">
        <f t="shared" si="3"/>
        <v>May-2024</v>
      </c>
      <c r="I227">
        <f t="shared" si="4"/>
        <v>21</v>
      </c>
      <c r="Y227">
        <v>986.4</v>
      </c>
    </row>
    <row r="228" spans="1:25">
      <c r="A228" s="2">
        <v>45438</v>
      </c>
      <c r="B228" s="3" t="s">
        <v>60</v>
      </c>
      <c r="C228" s="4">
        <v>388.8</v>
      </c>
      <c r="D228" s="3">
        <v>0</v>
      </c>
      <c r="E228" s="3" t="s">
        <v>42</v>
      </c>
      <c r="F228" s="3" t="s">
        <v>14</v>
      </c>
      <c r="G228" s="3" t="s">
        <v>15</v>
      </c>
      <c r="H228" s="15" t="str">
        <f t="shared" si="3"/>
        <v>May-2024</v>
      </c>
      <c r="I228">
        <f t="shared" si="4"/>
        <v>21</v>
      </c>
      <c r="Y228">
        <v>388.8</v>
      </c>
    </row>
    <row r="229" spans="1:25">
      <c r="A229" s="2">
        <v>45439</v>
      </c>
      <c r="B229" s="3" t="s">
        <v>62</v>
      </c>
      <c r="C229" s="4">
        <v>1320</v>
      </c>
      <c r="D229" s="3">
        <v>0</v>
      </c>
      <c r="E229" s="3" t="s">
        <v>64</v>
      </c>
      <c r="F229" s="3" t="s">
        <v>65</v>
      </c>
      <c r="G229" s="3" t="s">
        <v>15</v>
      </c>
      <c r="H229" s="15" t="str">
        <f t="shared" si="3"/>
        <v>May-2024</v>
      </c>
      <c r="I229">
        <f t="shared" si="4"/>
        <v>22</v>
      </c>
      <c r="Y229">
        <v>1320</v>
      </c>
    </row>
    <row r="230" spans="1:25">
      <c r="A230" s="2">
        <v>45439</v>
      </c>
      <c r="B230" s="3" t="s">
        <v>30</v>
      </c>
      <c r="C230" s="4">
        <v>1608</v>
      </c>
      <c r="D230" s="3">
        <v>0</v>
      </c>
      <c r="E230" s="3" t="s">
        <v>67</v>
      </c>
      <c r="F230" s="3" t="s">
        <v>23</v>
      </c>
      <c r="G230" s="3" t="s">
        <v>15</v>
      </c>
      <c r="H230" s="15" t="str">
        <f t="shared" si="3"/>
        <v>May-2024</v>
      </c>
      <c r="I230">
        <f t="shared" si="4"/>
        <v>22</v>
      </c>
      <c r="Y230">
        <v>1608</v>
      </c>
    </row>
    <row r="231" spans="1:25">
      <c r="A231" s="2">
        <v>45439</v>
      </c>
      <c r="B231" s="3" t="s">
        <v>11</v>
      </c>
      <c r="C231" s="4">
        <v>120</v>
      </c>
      <c r="D231" s="3">
        <v>0</v>
      </c>
      <c r="E231" s="3" t="s">
        <v>13</v>
      </c>
      <c r="F231" s="3" t="s">
        <v>14</v>
      </c>
      <c r="G231" s="3" t="s">
        <v>15</v>
      </c>
      <c r="H231" s="15" t="str">
        <f t="shared" si="3"/>
        <v>May-2024</v>
      </c>
      <c r="I231">
        <f t="shared" si="4"/>
        <v>22</v>
      </c>
      <c r="Y231">
        <v>120</v>
      </c>
    </row>
    <row r="232" spans="1:25">
      <c r="A232" s="2">
        <v>45440</v>
      </c>
      <c r="B232" s="3" t="s">
        <v>11</v>
      </c>
      <c r="C232" s="4">
        <v>120</v>
      </c>
      <c r="D232" s="3">
        <v>0</v>
      </c>
      <c r="E232" s="3" t="s">
        <v>13</v>
      </c>
      <c r="F232" s="3" t="s">
        <v>14</v>
      </c>
      <c r="G232" s="3" t="s">
        <v>15</v>
      </c>
      <c r="H232" s="15" t="str">
        <f t="shared" si="3"/>
        <v>May-2024</v>
      </c>
      <c r="I232">
        <f t="shared" si="4"/>
        <v>22</v>
      </c>
      <c r="Y232">
        <v>120</v>
      </c>
    </row>
    <row r="233" spans="1:25">
      <c r="A233" s="2">
        <v>45441</v>
      </c>
      <c r="B233" s="3" t="s">
        <v>11</v>
      </c>
      <c r="C233" s="4">
        <v>120</v>
      </c>
      <c r="D233" s="3">
        <v>0</v>
      </c>
      <c r="E233" s="3" t="s">
        <v>13</v>
      </c>
      <c r="F233" s="3" t="s">
        <v>14</v>
      </c>
      <c r="G233" s="3" t="s">
        <v>15</v>
      </c>
      <c r="H233" s="15" t="str">
        <f t="shared" si="3"/>
        <v>May-2024</v>
      </c>
      <c r="I233">
        <f t="shared" si="4"/>
        <v>22</v>
      </c>
      <c r="Y233">
        <v>120</v>
      </c>
    </row>
    <row r="234" spans="1:25">
      <c r="A234" s="2">
        <v>45442</v>
      </c>
      <c r="B234" s="3" t="s">
        <v>11</v>
      </c>
      <c r="C234" s="4">
        <v>120</v>
      </c>
      <c r="D234" s="3">
        <v>0</v>
      </c>
      <c r="E234" s="3" t="s">
        <v>13</v>
      </c>
      <c r="F234" s="3" t="s">
        <v>14</v>
      </c>
      <c r="G234" s="3" t="s">
        <v>15</v>
      </c>
      <c r="H234" s="15" t="str">
        <f t="shared" si="3"/>
        <v>May-2024</v>
      </c>
      <c r="I234">
        <f t="shared" si="4"/>
        <v>22</v>
      </c>
      <c r="Y234">
        <v>120</v>
      </c>
    </row>
    <row r="235" spans="1:25">
      <c r="A235" s="2">
        <v>45443</v>
      </c>
      <c r="B235" s="3" t="s">
        <v>11</v>
      </c>
      <c r="C235" s="4">
        <v>120</v>
      </c>
      <c r="D235" s="3">
        <v>0</v>
      </c>
      <c r="E235" s="3" t="s">
        <v>13</v>
      </c>
      <c r="F235" s="3" t="s">
        <v>14</v>
      </c>
      <c r="G235" s="3" t="s">
        <v>15</v>
      </c>
      <c r="H235" s="15" t="str">
        <f t="shared" si="3"/>
        <v>May-2024</v>
      </c>
      <c r="I235">
        <f t="shared" si="4"/>
        <v>22</v>
      </c>
      <c r="Y235">
        <v>120</v>
      </c>
    </row>
    <row r="236" spans="1:25">
      <c r="A236" s="2">
        <v>45443</v>
      </c>
      <c r="B236" s="3" t="s">
        <v>24</v>
      </c>
      <c r="C236" s="4">
        <v>3979.2</v>
      </c>
      <c r="D236" s="3">
        <v>0</v>
      </c>
      <c r="E236" s="3" t="s">
        <v>26</v>
      </c>
      <c r="F236" s="3" t="s">
        <v>19</v>
      </c>
      <c r="G236" s="3" t="s">
        <v>15</v>
      </c>
      <c r="H236" s="15" t="str">
        <f t="shared" si="3"/>
        <v>May-2024</v>
      </c>
      <c r="I236">
        <f t="shared" si="4"/>
        <v>22</v>
      </c>
      <c r="Y236">
        <v>3979.2</v>
      </c>
    </row>
    <row r="237" spans="1:25">
      <c r="A237" s="2">
        <v>45444</v>
      </c>
      <c r="B237" s="3" t="s">
        <v>69</v>
      </c>
      <c r="C237" s="4">
        <v>3091.2</v>
      </c>
      <c r="D237" s="3">
        <v>0</v>
      </c>
      <c r="E237" s="3" t="s">
        <v>39</v>
      </c>
      <c r="F237" s="3" t="s">
        <v>36</v>
      </c>
      <c r="G237" s="3" t="s">
        <v>15</v>
      </c>
      <c r="H237" s="15" t="str">
        <f t="shared" si="3"/>
        <v>Jun-2024</v>
      </c>
      <c r="I237">
        <f t="shared" si="4"/>
        <v>22</v>
      </c>
      <c r="Y237">
        <v>3091.2</v>
      </c>
    </row>
    <row r="238" spans="1:25">
      <c r="A238" s="2">
        <v>45444</v>
      </c>
      <c r="B238" s="3" t="s">
        <v>155</v>
      </c>
      <c r="C238" s="4">
        <v>5640</v>
      </c>
      <c r="D238" s="3">
        <v>0</v>
      </c>
      <c r="E238" s="3" t="s">
        <v>157</v>
      </c>
      <c r="F238" s="3" t="s">
        <v>36</v>
      </c>
      <c r="G238" s="3" t="s">
        <v>15</v>
      </c>
      <c r="H238" s="15" t="str">
        <f t="shared" si="3"/>
        <v>Jun-2024</v>
      </c>
      <c r="I238">
        <f t="shared" si="4"/>
        <v>22</v>
      </c>
      <c r="Y238">
        <v>5640</v>
      </c>
    </row>
    <row r="239" spans="1:25">
      <c r="A239" s="2">
        <v>45445</v>
      </c>
      <c r="B239" s="3" t="s">
        <v>37</v>
      </c>
      <c r="C239" s="4">
        <v>3580.8</v>
      </c>
      <c r="D239" s="3">
        <v>0</v>
      </c>
      <c r="E239" s="3" t="s">
        <v>39</v>
      </c>
      <c r="F239" s="3" t="s">
        <v>36</v>
      </c>
      <c r="G239" s="3" t="s">
        <v>15</v>
      </c>
      <c r="H239" s="15" t="str">
        <f t="shared" si="3"/>
        <v>Jun-2024</v>
      </c>
      <c r="I239">
        <f t="shared" si="4"/>
        <v>22</v>
      </c>
      <c r="Y239">
        <v>3580.8</v>
      </c>
    </row>
    <row r="240" spans="1:25">
      <c r="A240" s="2">
        <v>45445</v>
      </c>
      <c r="B240" s="3" t="s">
        <v>43</v>
      </c>
      <c r="C240" s="4">
        <v>652.79999999999995</v>
      </c>
      <c r="D240" s="3">
        <v>0</v>
      </c>
      <c r="E240" s="3" t="s">
        <v>45</v>
      </c>
      <c r="F240" s="3" t="s">
        <v>23</v>
      </c>
      <c r="G240" s="3" t="s">
        <v>15</v>
      </c>
      <c r="H240" s="15" t="str">
        <f t="shared" si="3"/>
        <v>Jun-2024</v>
      </c>
      <c r="I240">
        <f t="shared" si="4"/>
        <v>22</v>
      </c>
      <c r="Y240">
        <v>652.79999999999995</v>
      </c>
    </row>
    <row r="241" spans="1:25">
      <c r="A241" s="2">
        <v>45447</v>
      </c>
      <c r="B241" s="3" t="s">
        <v>121</v>
      </c>
      <c r="C241" s="4">
        <v>360</v>
      </c>
      <c r="D241" s="3">
        <v>0</v>
      </c>
      <c r="E241" s="3" t="s">
        <v>42</v>
      </c>
      <c r="F241" s="3" t="s">
        <v>14</v>
      </c>
      <c r="G241" s="3" t="s">
        <v>15</v>
      </c>
      <c r="H241" s="15" t="str">
        <f t="shared" si="3"/>
        <v>Jun-2024</v>
      </c>
      <c r="I241">
        <f t="shared" si="4"/>
        <v>23</v>
      </c>
      <c r="Y241">
        <v>360</v>
      </c>
    </row>
    <row r="242" spans="1:25">
      <c r="A242" s="2">
        <v>45446</v>
      </c>
      <c r="B242" s="3" t="s">
        <v>11</v>
      </c>
      <c r="C242" s="4">
        <v>120</v>
      </c>
      <c r="D242" s="3">
        <v>0</v>
      </c>
      <c r="E242" s="3" t="s">
        <v>13</v>
      </c>
      <c r="F242" s="3" t="s">
        <v>14</v>
      </c>
      <c r="G242" s="3" t="s">
        <v>15</v>
      </c>
      <c r="H242" s="15" t="str">
        <f t="shared" si="3"/>
        <v>Jun-2024</v>
      </c>
      <c r="I242">
        <f t="shared" si="4"/>
        <v>23</v>
      </c>
      <c r="Y242">
        <v>120</v>
      </c>
    </row>
    <row r="243" spans="1:25">
      <c r="A243" s="2">
        <v>45447</v>
      </c>
      <c r="B243" s="3" t="s">
        <v>11</v>
      </c>
      <c r="C243" s="4">
        <v>120</v>
      </c>
      <c r="D243" s="3">
        <v>0</v>
      </c>
      <c r="E243" s="3" t="s">
        <v>13</v>
      </c>
      <c r="F243" s="3" t="s">
        <v>14</v>
      </c>
      <c r="G243" s="3" t="s">
        <v>15</v>
      </c>
      <c r="H243" s="15" t="str">
        <f t="shared" si="3"/>
        <v>Jun-2024</v>
      </c>
      <c r="I243">
        <f t="shared" si="4"/>
        <v>23</v>
      </c>
      <c r="Y243">
        <v>120</v>
      </c>
    </row>
    <row r="244" spans="1:25">
      <c r="A244" s="2">
        <v>45448</v>
      </c>
      <c r="B244" s="3" t="s">
        <v>7</v>
      </c>
      <c r="C244" s="4">
        <v>0</v>
      </c>
      <c r="D244" s="3">
        <v>120000</v>
      </c>
      <c r="E244" s="3" t="s">
        <v>75</v>
      </c>
      <c r="F244" s="3" t="s">
        <v>9</v>
      </c>
      <c r="G244" s="3" t="s">
        <v>10</v>
      </c>
      <c r="H244" s="15" t="str">
        <f t="shared" si="3"/>
        <v>Jun-2024</v>
      </c>
      <c r="I244">
        <f t="shared" si="4"/>
        <v>23</v>
      </c>
      <c r="Y244">
        <v>0</v>
      </c>
    </row>
    <row r="245" spans="1:25">
      <c r="A245" s="2">
        <v>45450</v>
      </c>
      <c r="B245" s="3" t="s">
        <v>11</v>
      </c>
      <c r="C245" s="4">
        <v>120</v>
      </c>
      <c r="D245" s="3">
        <v>0</v>
      </c>
      <c r="E245" s="3" t="s">
        <v>13</v>
      </c>
      <c r="F245" s="3" t="s">
        <v>14</v>
      </c>
      <c r="G245" s="3" t="s">
        <v>15</v>
      </c>
      <c r="H245" s="15" t="str">
        <f t="shared" si="3"/>
        <v>Jun-2024</v>
      </c>
      <c r="I245">
        <f t="shared" si="4"/>
        <v>23</v>
      </c>
      <c r="Y245">
        <v>120</v>
      </c>
    </row>
    <row r="246" spans="1:25">
      <c r="A246" s="2">
        <v>45450</v>
      </c>
      <c r="B246" s="3" t="s">
        <v>16</v>
      </c>
      <c r="C246" s="4">
        <v>21600</v>
      </c>
      <c r="D246" s="3">
        <v>0</v>
      </c>
      <c r="E246" s="3" t="s">
        <v>18</v>
      </c>
      <c r="F246" s="3" t="s">
        <v>19</v>
      </c>
      <c r="G246" s="3" t="s">
        <v>15</v>
      </c>
      <c r="H246" s="15" t="str">
        <f t="shared" si="3"/>
        <v>Jun-2024</v>
      </c>
      <c r="I246">
        <f t="shared" si="4"/>
        <v>23</v>
      </c>
      <c r="Y246">
        <v>21600</v>
      </c>
    </row>
    <row r="247" spans="1:25">
      <c r="A247" s="2">
        <v>45450</v>
      </c>
      <c r="B247" s="3" t="s">
        <v>20</v>
      </c>
      <c r="C247" s="4">
        <v>3600</v>
      </c>
      <c r="D247" s="3">
        <v>0</v>
      </c>
      <c r="E247" s="3" t="s">
        <v>22</v>
      </c>
      <c r="F247" s="3" t="s">
        <v>23</v>
      </c>
      <c r="G247" s="3" t="s">
        <v>15</v>
      </c>
      <c r="H247" s="15" t="str">
        <f t="shared" si="3"/>
        <v>Jun-2024</v>
      </c>
      <c r="I247">
        <f t="shared" si="4"/>
        <v>23</v>
      </c>
      <c r="Y247">
        <v>3600</v>
      </c>
    </row>
    <row r="248" spans="1:25">
      <c r="A248" s="2">
        <v>45450</v>
      </c>
      <c r="B248" s="3" t="s">
        <v>11</v>
      </c>
      <c r="C248" s="4">
        <v>120</v>
      </c>
      <c r="D248" s="3">
        <v>0</v>
      </c>
      <c r="E248" s="3" t="s">
        <v>13</v>
      </c>
      <c r="F248" s="3" t="s">
        <v>14</v>
      </c>
      <c r="G248" s="3" t="s">
        <v>15</v>
      </c>
      <c r="H248" s="15" t="str">
        <f t="shared" si="3"/>
        <v>Jun-2024</v>
      </c>
      <c r="I248">
        <f t="shared" si="4"/>
        <v>23</v>
      </c>
      <c r="Y248">
        <v>120</v>
      </c>
    </row>
    <row r="249" spans="1:25">
      <c r="A249" s="2">
        <v>45451</v>
      </c>
      <c r="B249" s="3" t="s">
        <v>11</v>
      </c>
      <c r="C249" s="4">
        <v>120</v>
      </c>
      <c r="D249" s="3">
        <v>0</v>
      </c>
      <c r="E249" s="3" t="s">
        <v>13</v>
      </c>
      <c r="F249" s="3" t="s">
        <v>14</v>
      </c>
      <c r="G249" s="3" t="s">
        <v>15</v>
      </c>
      <c r="H249" s="15" t="str">
        <f t="shared" si="3"/>
        <v>Jun-2024</v>
      </c>
      <c r="I249">
        <f t="shared" si="4"/>
        <v>23</v>
      </c>
      <c r="Y249">
        <v>120</v>
      </c>
    </row>
    <row r="250" spans="1:25">
      <c r="A250" s="2">
        <v>45452</v>
      </c>
      <c r="B250" s="3" t="s">
        <v>11</v>
      </c>
      <c r="C250" s="4">
        <v>120</v>
      </c>
      <c r="D250" s="3">
        <v>0</v>
      </c>
      <c r="E250" s="3" t="s">
        <v>13</v>
      </c>
      <c r="F250" s="3" t="s">
        <v>14</v>
      </c>
      <c r="G250" s="3" t="s">
        <v>15</v>
      </c>
      <c r="H250" s="15" t="str">
        <f t="shared" si="3"/>
        <v>Jun-2024</v>
      </c>
      <c r="I250">
        <f t="shared" si="4"/>
        <v>23</v>
      </c>
      <c r="Y250">
        <v>120</v>
      </c>
    </row>
    <row r="251" spans="1:25">
      <c r="A251" s="2">
        <v>45453</v>
      </c>
      <c r="B251" s="3" t="s">
        <v>11</v>
      </c>
      <c r="C251" s="4">
        <v>120</v>
      </c>
      <c r="D251" s="3">
        <v>0</v>
      </c>
      <c r="E251" s="3" t="s">
        <v>13</v>
      </c>
      <c r="F251" s="3" t="s">
        <v>14</v>
      </c>
      <c r="G251" s="3" t="s">
        <v>15</v>
      </c>
      <c r="H251" s="15" t="str">
        <f t="shared" ref="H251:H314" si="5">TEXT(A251,"MMM-YYYY")</f>
        <v>Jun-2024</v>
      </c>
      <c r="I251">
        <f t="shared" si="4"/>
        <v>24</v>
      </c>
      <c r="Y251">
        <v>120</v>
      </c>
    </row>
    <row r="252" spans="1:25">
      <c r="A252" s="2">
        <v>45453</v>
      </c>
      <c r="B252" s="3" t="s">
        <v>24</v>
      </c>
      <c r="C252" s="4">
        <v>2856</v>
      </c>
      <c r="D252" s="3">
        <v>0</v>
      </c>
      <c r="E252" s="3" t="s">
        <v>26</v>
      </c>
      <c r="F252" s="3" t="s">
        <v>19</v>
      </c>
      <c r="G252" s="3" t="s">
        <v>15</v>
      </c>
      <c r="H252" s="15" t="str">
        <f t="shared" si="5"/>
        <v>Jun-2024</v>
      </c>
      <c r="I252">
        <f t="shared" si="4"/>
        <v>24</v>
      </c>
      <c r="Y252">
        <v>2856</v>
      </c>
    </row>
    <row r="253" spans="1:25">
      <c r="A253" s="2">
        <v>45456</v>
      </c>
      <c r="B253" s="3" t="s">
        <v>27</v>
      </c>
      <c r="C253" s="4">
        <v>1320</v>
      </c>
      <c r="D253" s="3">
        <v>0</v>
      </c>
      <c r="E253" s="3" t="s">
        <v>29</v>
      </c>
      <c r="F253" s="3" t="s">
        <v>19</v>
      </c>
      <c r="G253" s="3" t="s">
        <v>15</v>
      </c>
      <c r="H253" s="15" t="str">
        <f t="shared" si="5"/>
        <v>Jun-2024</v>
      </c>
      <c r="I253">
        <f t="shared" si="4"/>
        <v>24</v>
      </c>
      <c r="Y253">
        <v>1320</v>
      </c>
    </row>
    <row r="254" spans="1:25">
      <c r="A254" s="2">
        <v>45456</v>
      </c>
      <c r="B254" s="3" t="s">
        <v>11</v>
      </c>
      <c r="C254" s="4">
        <v>120</v>
      </c>
      <c r="D254" s="3">
        <v>0</v>
      </c>
      <c r="E254" s="3" t="s">
        <v>13</v>
      </c>
      <c r="F254" s="3" t="s">
        <v>14</v>
      </c>
      <c r="G254" s="3" t="s">
        <v>15</v>
      </c>
      <c r="H254" s="15" t="str">
        <f t="shared" si="5"/>
        <v>Jun-2024</v>
      </c>
      <c r="I254">
        <f t="shared" si="4"/>
        <v>24</v>
      </c>
      <c r="Y254">
        <v>120</v>
      </c>
    </row>
    <row r="255" spans="1:25">
      <c r="A255" s="2">
        <v>45457</v>
      </c>
      <c r="B255" s="3" t="s">
        <v>11</v>
      </c>
      <c r="C255" s="4">
        <v>120</v>
      </c>
      <c r="D255" s="3">
        <v>0</v>
      </c>
      <c r="E255" s="3" t="s">
        <v>13</v>
      </c>
      <c r="F255" s="3" t="s">
        <v>14</v>
      </c>
      <c r="G255" s="3" t="s">
        <v>15</v>
      </c>
      <c r="H255" s="15" t="str">
        <f t="shared" si="5"/>
        <v>Jun-2024</v>
      </c>
      <c r="I255">
        <f t="shared" si="4"/>
        <v>24</v>
      </c>
      <c r="Y255">
        <v>120</v>
      </c>
    </row>
    <row r="256" spans="1:25">
      <c r="A256" s="2">
        <v>45458</v>
      </c>
      <c r="B256" s="3" t="s">
        <v>30</v>
      </c>
      <c r="C256" s="4">
        <v>1970.4</v>
      </c>
      <c r="D256" s="3">
        <v>0</v>
      </c>
      <c r="E256" s="3" t="s">
        <v>67</v>
      </c>
      <c r="F256" s="3" t="s">
        <v>23</v>
      </c>
      <c r="G256" s="3" t="s">
        <v>15</v>
      </c>
      <c r="H256" s="15" t="str">
        <f t="shared" si="5"/>
        <v>Jun-2024</v>
      </c>
      <c r="I256">
        <f t="shared" si="4"/>
        <v>24</v>
      </c>
      <c r="Y256">
        <v>1970.4</v>
      </c>
    </row>
    <row r="257" spans="1:25">
      <c r="A257" s="2">
        <v>45458</v>
      </c>
      <c r="B257" s="3" t="s">
        <v>11</v>
      </c>
      <c r="C257" s="4">
        <v>120</v>
      </c>
      <c r="D257" s="3">
        <v>0</v>
      </c>
      <c r="E257" s="3" t="s">
        <v>13</v>
      </c>
      <c r="F257" s="3" t="s">
        <v>14</v>
      </c>
      <c r="G257" s="3" t="s">
        <v>15</v>
      </c>
      <c r="H257" s="15" t="str">
        <f t="shared" si="5"/>
        <v>Jun-2024</v>
      </c>
      <c r="I257">
        <f t="shared" si="4"/>
        <v>24</v>
      </c>
      <c r="Y257">
        <v>120</v>
      </c>
    </row>
    <row r="258" spans="1:25">
      <c r="A258" s="2">
        <v>45459</v>
      </c>
      <c r="B258" s="3" t="s">
        <v>11</v>
      </c>
      <c r="C258" s="4">
        <v>120</v>
      </c>
      <c r="D258" s="3">
        <v>0</v>
      </c>
      <c r="E258" s="3" t="s">
        <v>13</v>
      </c>
      <c r="F258" s="3" t="s">
        <v>14</v>
      </c>
      <c r="G258" s="3" t="s">
        <v>15</v>
      </c>
      <c r="H258" s="15" t="str">
        <f t="shared" si="5"/>
        <v>Jun-2024</v>
      </c>
      <c r="I258">
        <f t="shared" si="4"/>
        <v>24</v>
      </c>
      <c r="Y258">
        <v>120</v>
      </c>
    </row>
    <row r="259" spans="1:25">
      <c r="A259" s="2">
        <v>45460</v>
      </c>
      <c r="B259" s="3" t="s">
        <v>24</v>
      </c>
      <c r="C259" s="4">
        <v>3364.8</v>
      </c>
      <c r="D259" s="3">
        <v>0</v>
      </c>
      <c r="E259" s="3" t="s">
        <v>26</v>
      </c>
      <c r="F259" s="3" t="s">
        <v>19</v>
      </c>
      <c r="G259" s="3" t="s">
        <v>15</v>
      </c>
      <c r="H259" s="15" t="str">
        <f t="shared" si="5"/>
        <v>Jun-2024</v>
      </c>
      <c r="I259">
        <f t="shared" ref="I259:I322" si="6">WEEKNUM(A259,2)</f>
        <v>25</v>
      </c>
      <c r="Y259">
        <v>3364.8</v>
      </c>
    </row>
    <row r="260" spans="1:25">
      <c r="A260" s="2">
        <v>45460</v>
      </c>
      <c r="B260" s="3" t="s">
        <v>11</v>
      </c>
      <c r="C260" s="4">
        <v>120</v>
      </c>
      <c r="D260" s="3">
        <v>0</v>
      </c>
      <c r="E260" s="3" t="s">
        <v>13</v>
      </c>
      <c r="F260" s="3" t="s">
        <v>14</v>
      </c>
      <c r="G260" s="3" t="s">
        <v>15</v>
      </c>
      <c r="H260" s="15" t="str">
        <f t="shared" si="5"/>
        <v>Jun-2024</v>
      </c>
      <c r="I260">
        <f t="shared" si="6"/>
        <v>25</v>
      </c>
      <c r="Y260">
        <v>120</v>
      </c>
    </row>
    <row r="261" spans="1:25">
      <c r="A261" s="2">
        <v>45461</v>
      </c>
      <c r="B261" s="3" t="s">
        <v>11</v>
      </c>
      <c r="C261" s="4">
        <v>120</v>
      </c>
      <c r="D261" s="3">
        <v>0</v>
      </c>
      <c r="E261" s="3" t="s">
        <v>13</v>
      </c>
      <c r="F261" s="3" t="s">
        <v>14</v>
      </c>
      <c r="G261" s="3" t="s">
        <v>15</v>
      </c>
      <c r="H261" s="15" t="str">
        <f t="shared" si="5"/>
        <v>Jun-2024</v>
      </c>
      <c r="I261">
        <f t="shared" si="6"/>
        <v>25</v>
      </c>
      <c r="Y261">
        <v>120</v>
      </c>
    </row>
    <row r="262" spans="1:25">
      <c r="A262" s="2">
        <v>45461</v>
      </c>
      <c r="B262" s="3" t="s">
        <v>33</v>
      </c>
      <c r="C262" s="4">
        <v>1077.5999999999999</v>
      </c>
      <c r="D262" s="3">
        <v>0</v>
      </c>
      <c r="E262" s="3" t="s">
        <v>35</v>
      </c>
      <c r="F262" s="3" t="s">
        <v>36</v>
      </c>
      <c r="G262" s="3" t="s">
        <v>15</v>
      </c>
      <c r="H262" s="15" t="str">
        <f t="shared" si="5"/>
        <v>Jun-2024</v>
      </c>
      <c r="I262">
        <f t="shared" si="6"/>
        <v>25</v>
      </c>
      <c r="Y262">
        <v>1077.5999999999999</v>
      </c>
    </row>
    <row r="263" spans="1:25">
      <c r="A263" s="2">
        <v>45461</v>
      </c>
      <c r="B263" s="3" t="s">
        <v>81</v>
      </c>
      <c r="C263" s="4">
        <v>2469.6</v>
      </c>
      <c r="D263" s="3">
        <v>0</v>
      </c>
      <c r="E263" s="3" t="s">
        <v>39</v>
      </c>
      <c r="F263" s="3" t="s">
        <v>36</v>
      </c>
      <c r="G263" s="3" t="s">
        <v>15</v>
      </c>
      <c r="H263" s="15" t="str">
        <f t="shared" si="5"/>
        <v>Jun-2024</v>
      </c>
      <c r="I263">
        <f t="shared" si="6"/>
        <v>25</v>
      </c>
      <c r="Y263">
        <v>2469.6</v>
      </c>
    </row>
    <row r="264" spans="1:25">
      <c r="A264" s="2">
        <v>45461</v>
      </c>
      <c r="B264" s="3" t="s">
        <v>40</v>
      </c>
      <c r="C264" s="4">
        <v>1365.6</v>
      </c>
      <c r="D264" s="3">
        <v>0</v>
      </c>
      <c r="E264" s="3" t="s">
        <v>42</v>
      </c>
      <c r="F264" s="3" t="s">
        <v>14</v>
      </c>
      <c r="G264" s="3" t="s">
        <v>15</v>
      </c>
      <c r="H264" s="15" t="str">
        <f t="shared" si="5"/>
        <v>Jun-2024</v>
      </c>
      <c r="I264">
        <f t="shared" si="6"/>
        <v>25</v>
      </c>
      <c r="Y264">
        <v>1365.6</v>
      </c>
    </row>
    <row r="265" spans="1:25">
      <c r="A265" s="2">
        <v>45462</v>
      </c>
      <c r="B265" s="3" t="s">
        <v>43</v>
      </c>
      <c r="C265" s="4">
        <v>794.4</v>
      </c>
      <c r="D265" s="3">
        <v>0</v>
      </c>
      <c r="E265" s="3" t="s">
        <v>45</v>
      </c>
      <c r="F265" s="3" t="s">
        <v>23</v>
      </c>
      <c r="G265" s="3" t="s">
        <v>15</v>
      </c>
      <c r="H265" s="15" t="str">
        <f t="shared" si="5"/>
        <v>Jun-2024</v>
      </c>
      <c r="I265">
        <f t="shared" si="6"/>
        <v>25</v>
      </c>
      <c r="Y265">
        <v>794.4</v>
      </c>
    </row>
    <row r="266" spans="1:25">
      <c r="A266" s="2">
        <v>45463</v>
      </c>
      <c r="B266" s="3" t="s">
        <v>46</v>
      </c>
      <c r="C266" s="4">
        <v>0</v>
      </c>
      <c r="D266" s="3">
        <v>2400</v>
      </c>
      <c r="E266" s="3" t="s">
        <v>48</v>
      </c>
      <c r="F266" s="3" t="s">
        <v>49</v>
      </c>
      <c r="G266" s="3" t="s">
        <v>10</v>
      </c>
      <c r="H266" s="15" t="str">
        <f t="shared" si="5"/>
        <v>Jun-2024</v>
      </c>
      <c r="I266">
        <f t="shared" si="6"/>
        <v>25</v>
      </c>
      <c r="Y266">
        <v>0</v>
      </c>
    </row>
    <row r="267" spans="1:25">
      <c r="A267" s="2">
        <v>45463</v>
      </c>
      <c r="B267" s="3" t="s">
        <v>11</v>
      </c>
      <c r="C267" s="4">
        <v>120</v>
      </c>
      <c r="D267" s="3">
        <v>0</v>
      </c>
      <c r="E267" s="3" t="s">
        <v>13</v>
      </c>
      <c r="F267" s="3" t="s">
        <v>14</v>
      </c>
      <c r="G267" s="3" t="s">
        <v>15</v>
      </c>
      <c r="H267" s="15" t="str">
        <f t="shared" si="5"/>
        <v>Jun-2024</v>
      </c>
      <c r="I267">
        <f t="shared" si="6"/>
        <v>25</v>
      </c>
      <c r="Y267">
        <v>120</v>
      </c>
    </row>
    <row r="268" spans="1:25">
      <c r="A268" s="2">
        <v>45464</v>
      </c>
      <c r="B268" s="3" t="s">
        <v>11</v>
      </c>
      <c r="C268" s="4">
        <v>120</v>
      </c>
      <c r="D268" s="3">
        <v>0</v>
      </c>
      <c r="E268" s="3" t="s">
        <v>13</v>
      </c>
      <c r="F268" s="3" t="s">
        <v>14</v>
      </c>
      <c r="G268" s="3" t="s">
        <v>15</v>
      </c>
      <c r="H268" s="15" t="str">
        <f t="shared" si="5"/>
        <v>Jun-2024</v>
      </c>
      <c r="I268">
        <f t="shared" si="6"/>
        <v>25</v>
      </c>
      <c r="Y268">
        <v>120</v>
      </c>
    </row>
    <row r="269" spans="1:25">
      <c r="A269" s="2">
        <v>45464</v>
      </c>
      <c r="B269" s="3" t="s">
        <v>51</v>
      </c>
      <c r="C269" s="4">
        <v>960</v>
      </c>
      <c r="D269" s="3">
        <v>0</v>
      </c>
      <c r="E269" s="3" t="s">
        <v>51</v>
      </c>
      <c r="F269" s="3" t="s">
        <v>19</v>
      </c>
      <c r="G269" s="3" t="s">
        <v>15</v>
      </c>
      <c r="H269" s="15" t="str">
        <f t="shared" si="5"/>
        <v>Jun-2024</v>
      </c>
      <c r="I269">
        <f t="shared" si="6"/>
        <v>25</v>
      </c>
      <c r="Y269">
        <v>960</v>
      </c>
    </row>
    <row r="270" spans="1:25">
      <c r="A270" s="2">
        <v>45465</v>
      </c>
      <c r="B270" s="3" t="s">
        <v>52</v>
      </c>
      <c r="C270" s="4">
        <v>1202.4000000000001</v>
      </c>
      <c r="D270" s="3">
        <v>0</v>
      </c>
      <c r="E270" s="3" t="s">
        <v>54</v>
      </c>
      <c r="F270" s="3" t="s">
        <v>36</v>
      </c>
      <c r="G270" s="3" t="s">
        <v>15</v>
      </c>
      <c r="H270" s="15" t="str">
        <f t="shared" si="5"/>
        <v>Jun-2024</v>
      </c>
      <c r="I270">
        <f t="shared" si="6"/>
        <v>25</v>
      </c>
      <c r="Y270">
        <v>1202.4000000000001</v>
      </c>
    </row>
    <row r="271" spans="1:25">
      <c r="A271" s="2">
        <v>45465</v>
      </c>
      <c r="B271" s="3" t="s">
        <v>55</v>
      </c>
      <c r="C271" s="4">
        <v>840</v>
      </c>
      <c r="D271" s="3">
        <v>0</v>
      </c>
      <c r="E271" s="3" t="s">
        <v>35</v>
      </c>
      <c r="F271" s="3" t="s">
        <v>36</v>
      </c>
      <c r="G271" s="3" t="s">
        <v>15</v>
      </c>
      <c r="H271" s="15" t="str">
        <f t="shared" si="5"/>
        <v>Jun-2024</v>
      </c>
      <c r="I271">
        <f t="shared" si="6"/>
        <v>25</v>
      </c>
      <c r="Y271">
        <v>840</v>
      </c>
    </row>
    <row r="272" spans="1:25">
      <c r="A272" s="2">
        <v>45465</v>
      </c>
      <c r="B272" s="3" t="s">
        <v>11</v>
      </c>
      <c r="C272" s="4">
        <v>120</v>
      </c>
      <c r="D272" s="3">
        <v>0</v>
      </c>
      <c r="E272" s="3" t="s">
        <v>13</v>
      </c>
      <c r="F272" s="3" t="s">
        <v>14</v>
      </c>
      <c r="G272" s="3" t="s">
        <v>15</v>
      </c>
      <c r="H272" s="15" t="str">
        <f t="shared" si="5"/>
        <v>Jun-2024</v>
      </c>
      <c r="I272">
        <f t="shared" si="6"/>
        <v>25</v>
      </c>
      <c r="Y272">
        <v>120</v>
      </c>
    </row>
    <row r="273" spans="1:25">
      <c r="A273" s="2">
        <v>45466</v>
      </c>
      <c r="B273" s="3" t="s">
        <v>11</v>
      </c>
      <c r="C273" s="4">
        <v>120</v>
      </c>
      <c r="D273" s="3">
        <v>0</v>
      </c>
      <c r="E273" s="3" t="s">
        <v>13</v>
      </c>
      <c r="F273" s="3" t="s">
        <v>14</v>
      </c>
      <c r="G273" s="3" t="s">
        <v>15</v>
      </c>
      <c r="H273" s="15" t="str">
        <f t="shared" si="5"/>
        <v>Jun-2024</v>
      </c>
      <c r="I273">
        <f t="shared" si="6"/>
        <v>25</v>
      </c>
      <c r="Y273">
        <v>120</v>
      </c>
    </row>
    <row r="274" spans="1:25">
      <c r="A274" s="2">
        <v>45467</v>
      </c>
      <c r="B274" s="3" t="s">
        <v>11</v>
      </c>
      <c r="C274" s="4">
        <v>120</v>
      </c>
      <c r="D274" s="3">
        <v>0</v>
      </c>
      <c r="E274" s="3" t="s">
        <v>13</v>
      </c>
      <c r="F274" s="3" t="s">
        <v>14</v>
      </c>
      <c r="G274" s="3" t="s">
        <v>15</v>
      </c>
      <c r="H274" s="15" t="str">
        <f t="shared" si="5"/>
        <v>Jun-2024</v>
      </c>
      <c r="I274">
        <f t="shared" si="6"/>
        <v>26</v>
      </c>
      <c r="Y274">
        <v>120</v>
      </c>
    </row>
    <row r="275" spans="1:25">
      <c r="A275" s="2">
        <v>45467</v>
      </c>
      <c r="B275" s="3" t="s">
        <v>24</v>
      </c>
      <c r="C275" s="4">
        <v>5616</v>
      </c>
      <c r="D275" s="3">
        <v>0</v>
      </c>
      <c r="E275" s="3" t="s">
        <v>26</v>
      </c>
      <c r="F275" s="3" t="s">
        <v>19</v>
      </c>
      <c r="G275" s="3" t="s">
        <v>15</v>
      </c>
      <c r="H275" s="15" t="str">
        <f t="shared" si="5"/>
        <v>Jun-2024</v>
      </c>
      <c r="I275">
        <f t="shared" si="6"/>
        <v>26</v>
      </c>
      <c r="Y275">
        <v>5616</v>
      </c>
    </row>
    <row r="276" spans="1:25">
      <c r="A276" s="2">
        <v>45468</v>
      </c>
      <c r="B276" s="3" t="s">
        <v>58</v>
      </c>
      <c r="C276" s="4">
        <v>1010.4</v>
      </c>
      <c r="D276" s="3">
        <v>0</v>
      </c>
      <c r="E276" s="3" t="s">
        <v>42</v>
      </c>
      <c r="F276" s="3" t="s">
        <v>14</v>
      </c>
      <c r="G276" s="3" t="s">
        <v>15</v>
      </c>
      <c r="H276" s="15" t="str">
        <f t="shared" si="5"/>
        <v>Jun-2024</v>
      </c>
      <c r="I276">
        <f t="shared" si="6"/>
        <v>26</v>
      </c>
      <c r="Y276">
        <v>1010.4</v>
      </c>
    </row>
    <row r="277" spans="1:25">
      <c r="A277" s="2">
        <v>45469</v>
      </c>
      <c r="B277" s="3" t="s">
        <v>60</v>
      </c>
      <c r="C277" s="4">
        <v>410.4</v>
      </c>
      <c r="D277" s="3">
        <v>0</v>
      </c>
      <c r="E277" s="3" t="s">
        <v>42</v>
      </c>
      <c r="F277" s="3" t="s">
        <v>14</v>
      </c>
      <c r="G277" s="3" t="s">
        <v>15</v>
      </c>
      <c r="H277" s="15" t="str">
        <f t="shared" si="5"/>
        <v>Jun-2024</v>
      </c>
      <c r="I277">
        <f t="shared" si="6"/>
        <v>26</v>
      </c>
      <c r="Y277">
        <v>410.4</v>
      </c>
    </row>
    <row r="278" spans="1:25">
      <c r="A278" s="2">
        <v>45470</v>
      </c>
      <c r="B278" s="3" t="s">
        <v>62</v>
      </c>
      <c r="C278" s="4">
        <v>1320</v>
      </c>
      <c r="D278" s="3">
        <v>0</v>
      </c>
      <c r="E278" s="3" t="s">
        <v>64</v>
      </c>
      <c r="F278" s="3" t="s">
        <v>65</v>
      </c>
      <c r="G278" s="3" t="s">
        <v>15</v>
      </c>
      <c r="H278" s="15" t="str">
        <f t="shared" si="5"/>
        <v>Jun-2024</v>
      </c>
      <c r="I278">
        <f t="shared" si="6"/>
        <v>26</v>
      </c>
      <c r="Y278">
        <v>1320</v>
      </c>
    </row>
    <row r="279" spans="1:25">
      <c r="A279" s="2">
        <v>45470</v>
      </c>
      <c r="B279" s="3" t="s">
        <v>30</v>
      </c>
      <c r="C279" s="4">
        <v>1629.6</v>
      </c>
      <c r="D279" s="3">
        <v>0</v>
      </c>
      <c r="E279" s="3" t="s">
        <v>67</v>
      </c>
      <c r="F279" s="3" t="s">
        <v>23</v>
      </c>
      <c r="G279" s="3" t="s">
        <v>15</v>
      </c>
      <c r="H279" s="15" t="str">
        <f t="shared" si="5"/>
        <v>Jun-2024</v>
      </c>
      <c r="I279">
        <f t="shared" si="6"/>
        <v>26</v>
      </c>
      <c r="Y279">
        <v>1629.6</v>
      </c>
    </row>
    <row r="280" spans="1:25">
      <c r="A280" s="2">
        <v>45470</v>
      </c>
      <c r="B280" s="3" t="s">
        <v>11</v>
      </c>
      <c r="C280" s="4">
        <v>120</v>
      </c>
      <c r="D280" s="3">
        <v>0</v>
      </c>
      <c r="E280" s="3" t="s">
        <v>13</v>
      </c>
      <c r="F280" s="3" t="s">
        <v>14</v>
      </c>
      <c r="G280" s="3" t="s">
        <v>15</v>
      </c>
      <c r="H280" s="15" t="str">
        <f t="shared" si="5"/>
        <v>Jun-2024</v>
      </c>
      <c r="I280">
        <f t="shared" si="6"/>
        <v>26</v>
      </c>
      <c r="Y280">
        <v>120</v>
      </c>
    </row>
    <row r="281" spans="1:25">
      <c r="A281" s="2">
        <v>45471</v>
      </c>
      <c r="B281" s="3" t="s">
        <v>11</v>
      </c>
      <c r="C281" s="4">
        <v>120</v>
      </c>
      <c r="D281" s="3">
        <v>0</v>
      </c>
      <c r="E281" s="3" t="s">
        <v>13</v>
      </c>
      <c r="F281" s="3" t="s">
        <v>14</v>
      </c>
      <c r="G281" s="3" t="s">
        <v>15</v>
      </c>
      <c r="H281" s="15" t="str">
        <f t="shared" si="5"/>
        <v>Jun-2024</v>
      </c>
      <c r="I281">
        <f t="shared" si="6"/>
        <v>26</v>
      </c>
      <c r="Y281">
        <v>120</v>
      </c>
    </row>
    <row r="282" spans="1:25">
      <c r="A282" s="2">
        <v>45472</v>
      </c>
      <c r="B282" s="3" t="s">
        <v>11</v>
      </c>
      <c r="C282" s="4">
        <v>120</v>
      </c>
      <c r="D282" s="3">
        <v>0</v>
      </c>
      <c r="E282" s="3" t="s">
        <v>13</v>
      </c>
      <c r="F282" s="3" t="s">
        <v>14</v>
      </c>
      <c r="G282" s="3" t="s">
        <v>15</v>
      </c>
      <c r="H282" s="15" t="str">
        <f t="shared" si="5"/>
        <v>Jun-2024</v>
      </c>
      <c r="I282">
        <f t="shared" si="6"/>
        <v>26</v>
      </c>
      <c r="Y282">
        <v>120</v>
      </c>
    </row>
    <row r="283" spans="1:25">
      <c r="A283" s="2">
        <v>45473</v>
      </c>
      <c r="B283" s="3" t="s">
        <v>11</v>
      </c>
      <c r="C283" s="4">
        <v>120</v>
      </c>
      <c r="D283" s="3">
        <v>0</v>
      </c>
      <c r="E283" s="3" t="s">
        <v>13</v>
      </c>
      <c r="F283" s="3" t="s">
        <v>14</v>
      </c>
      <c r="G283" s="3" t="s">
        <v>15</v>
      </c>
      <c r="H283" s="15" t="str">
        <f t="shared" si="5"/>
        <v>Jun-2024</v>
      </c>
      <c r="I283">
        <f t="shared" si="6"/>
        <v>26</v>
      </c>
      <c r="Y283">
        <v>120</v>
      </c>
    </row>
    <row r="284" spans="1:25">
      <c r="A284" s="2">
        <v>45474</v>
      </c>
      <c r="B284" s="3" t="s">
        <v>11</v>
      </c>
      <c r="C284" s="4">
        <v>120</v>
      </c>
      <c r="D284" s="3">
        <v>0</v>
      </c>
      <c r="E284" s="3" t="s">
        <v>13</v>
      </c>
      <c r="F284" s="3" t="s">
        <v>14</v>
      </c>
      <c r="G284" s="3" t="s">
        <v>15</v>
      </c>
      <c r="H284" s="15" t="str">
        <f t="shared" si="5"/>
        <v>Jul-2024</v>
      </c>
      <c r="I284">
        <f t="shared" si="6"/>
        <v>27</v>
      </c>
      <c r="Y284">
        <v>120</v>
      </c>
    </row>
    <row r="285" spans="1:25">
      <c r="A285" s="2">
        <v>45474</v>
      </c>
      <c r="B285" s="3" t="s">
        <v>24</v>
      </c>
      <c r="C285" s="4">
        <v>4005.6</v>
      </c>
      <c r="D285" s="3">
        <v>0</v>
      </c>
      <c r="E285" s="3" t="s">
        <v>26</v>
      </c>
      <c r="F285" s="3" t="s">
        <v>19</v>
      </c>
      <c r="G285" s="3" t="s">
        <v>15</v>
      </c>
      <c r="H285" s="15" t="str">
        <f t="shared" si="5"/>
        <v>Jul-2024</v>
      </c>
      <c r="I285">
        <f t="shared" si="6"/>
        <v>27</v>
      </c>
      <c r="Y285">
        <v>4005.6</v>
      </c>
    </row>
    <row r="286" spans="1:25">
      <c r="A286" s="2">
        <v>45475</v>
      </c>
      <c r="B286" s="3" t="s">
        <v>69</v>
      </c>
      <c r="C286" s="4">
        <v>3117.6</v>
      </c>
      <c r="D286" s="3">
        <v>0</v>
      </c>
      <c r="E286" s="3" t="s">
        <v>39</v>
      </c>
      <c r="F286" s="3" t="s">
        <v>36</v>
      </c>
      <c r="G286" s="3" t="s">
        <v>15</v>
      </c>
      <c r="H286" s="15" t="str">
        <f t="shared" si="5"/>
        <v>Jul-2024</v>
      </c>
      <c r="I286">
        <f t="shared" si="6"/>
        <v>27</v>
      </c>
      <c r="Y286">
        <v>3117.6</v>
      </c>
    </row>
    <row r="287" spans="1:25">
      <c r="A287" s="2">
        <v>45475</v>
      </c>
      <c r="B287" s="3" t="s">
        <v>71</v>
      </c>
      <c r="C287" s="4">
        <v>4327.2</v>
      </c>
      <c r="D287" s="3">
        <v>0</v>
      </c>
      <c r="E287" s="3" t="s">
        <v>35</v>
      </c>
      <c r="F287" s="3" t="s">
        <v>36</v>
      </c>
      <c r="G287" s="3" t="s">
        <v>15</v>
      </c>
      <c r="H287" s="15" t="str">
        <f t="shared" si="5"/>
        <v>Jul-2024</v>
      </c>
      <c r="I287">
        <f t="shared" si="6"/>
        <v>27</v>
      </c>
      <c r="Y287">
        <v>4327.2</v>
      </c>
    </row>
    <row r="288" spans="1:25">
      <c r="A288" s="2">
        <v>45476</v>
      </c>
      <c r="B288" s="3" t="s">
        <v>37</v>
      </c>
      <c r="C288" s="4">
        <v>3602.4</v>
      </c>
      <c r="D288" s="3">
        <v>0</v>
      </c>
      <c r="E288" s="3" t="s">
        <v>39</v>
      </c>
      <c r="F288" s="3" t="s">
        <v>36</v>
      </c>
      <c r="G288" s="3" t="s">
        <v>15</v>
      </c>
      <c r="H288" s="15" t="str">
        <f t="shared" si="5"/>
        <v>Jul-2024</v>
      </c>
      <c r="I288">
        <f t="shared" si="6"/>
        <v>27</v>
      </c>
      <c r="Y288">
        <v>3602.4</v>
      </c>
    </row>
    <row r="289" spans="1:25">
      <c r="A289" s="2">
        <v>45476</v>
      </c>
      <c r="B289" s="3" t="s">
        <v>43</v>
      </c>
      <c r="C289" s="4">
        <v>676.8</v>
      </c>
      <c r="D289" s="3">
        <v>0</v>
      </c>
      <c r="E289" s="3" t="s">
        <v>45</v>
      </c>
      <c r="F289" s="3" t="s">
        <v>23</v>
      </c>
      <c r="G289" s="3" t="s">
        <v>15</v>
      </c>
      <c r="H289" s="15" t="str">
        <f t="shared" si="5"/>
        <v>Jul-2024</v>
      </c>
      <c r="I289">
        <f t="shared" si="6"/>
        <v>27</v>
      </c>
      <c r="Y289">
        <v>676.8</v>
      </c>
    </row>
    <row r="290" spans="1:25">
      <c r="A290" s="2">
        <v>45476</v>
      </c>
      <c r="B290" s="3" t="s">
        <v>121</v>
      </c>
      <c r="C290" s="4">
        <v>360</v>
      </c>
      <c r="D290" s="3">
        <v>0</v>
      </c>
      <c r="E290" s="3" t="s">
        <v>42</v>
      </c>
      <c r="F290" s="3" t="s">
        <v>14</v>
      </c>
      <c r="G290" s="3" t="s">
        <v>15</v>
      </c>
      <c r="H290" s="15" t="str">
        <f t="shared" si="5"/>
        <v>Jul-2024</v>
      </c>
      <c r="I290">
        <f t="shared" si="6"/>
        <v>27</v>
      </c>
      <c r="Y290">
        <v>360</v>
      </c>
    </row>
    <row r="291" spans="1:25">
      <c r="A291" s="2">
        <v>45477</v>
      </c>
      <c r="B291" s="3" t="s">
        <v>11</v>
      </c>
      <c r="C291" s="4">
        <v>120</v>
      </c>
      <c r="D291" s="3">
        <v>0</v>
      </c>
      <c r="E291" s="3" t="s">
        <v>13</v>
      </c>
      <c r="F291" s="3" t="s">
        <v>14</v>
      </c>
      <c r="G291" s="3" t="s">
        <v>15</v>
      </c>
      <c r="H291" s="15" t="str">
        <f t="shared" si="5"/>
        <v>Jul-2024</v>
      </c>
      <c r="I291">
        <f t="shared" si="6"/>
        <v>27</v>
      </c>
      <c r="Y291">
        <v>120</v>
      </c>
    </row>
    <row r="292" spans="1:25">
      <c r="A292" s="2">
        <v>45478</v>
      </c>
      <c r="B292" s="3" t="s">
        <v>11</v>
      </c>
      <c r="C292" s="4">
        <v>120</v>
      </c>
      <c r="D292" s="3">
        <v>0</v>
      </c>
      <c r="E292" s="3" t="s">
        <v>13</v>
      </c>
      <c r="F292" s="3" t="s">
        <v>14</v>
      </c>
      <c r="G292" s="3" t="s">
        <v>15</v>
      </c>
      <c r="H292" s="15" t="str">
        <f t="shared" si="5"/>
        <v>Jul-2024</v>
      </c>
      <c r="I292">
        <f t="shared" si="6"/>
        <v>27</v>
      </c>
      <c r="Y292">
        <v>120</v>
      </c>
    </row>
    <row r="293" spans="1:25">
      <c r="A293" s="2">
        <v>45479</v>
      </c>
      <c r="B293" s="3" t="s">
        <v>7</v>
      </c>
      <c r="C293" s="4">
        <v>0</v>
      </c>
      <c r="D293" s="3">
        <v>120000</v>
      </c>
      <c r="E293" s="3" t="s">
        <v>75</v>
      </c>
      <c r="F293" s="3" t="s">
        <v>9</v>
      </c>
      <c r="G293" s="3" t="s">
        <v>10</v>
      </c>
      <c r="H293" s="15" t="str">
        <f t="shared" si="5"/>
        <v>Jul-2024</v>
      </c>
      <c r="I293">
        <f t="shared" si="6"/>
        <v>27</v>
      </c>
      <c r="Y293">
        <v>0</v>
      </c>
    </row>
    <row r="294" spans="1:25">
      <c r="A294" s="2">
        <v>45480</v>
      </c>
      <c r="B294" s="3" t="s">
        <v>11</v>
      </c>
      <c r="C294" s="4">
        <v>120</v>
      </c>
      <c r="D294" s="3">
        <v>0</v>
      </c>
      <c r="E294" s="3" t="s">
        <v>13</v>
      </c>
      <c r="F294" s="3" t="s">
        <v>14</v>
      </c>
      <c r="G294" s="3" t="s">
        <v>15</v>
      </c>
      <c r="H294" s="15" t="str">
        <f t="shared" si="5"/>
        <v>Jul-2024</v>
      </c>
      <c r="I294">
        <f t="shared" si="6"/>
        <v>27</v>
      </c>
      <c r="Y294">
        <v>120</v>
      </c>
    </row>
    <row r="295" spans="1:25">
      <c r="A295" s="2">
        <v>45482</v>
      </c>
      <c r="B295" s="3" t="s">
        <v>16</v>
      </c>
      <c r="C295" s="4">
        <v>21600</v>
      </c>
      <c r="D295" s="3">
        <v>0</v>
      </c>
      <c r="E295" s="3" t="s">
        <v>18</v>
      </c>
      <c r="F295" s="3" t="s">
        <v>19</v>
      </c>
      <c r="G295" s="3" t="s">
        <v>15</v>
      </c>
      <c r="H295" s="15" t="str">
        <f t="shared" si="5"/>
        <v>Jul-2024</v>
      </c>
      <c r="I295">
        <f t="shared" si="6"/>
        <v>28</v>
      </c>
      <c r="Y295">
        <v>21600</v>
      </c>
    </row>
    <row r="296" spans="1:25">
      <c r="A296" s="2">
        <v>45482</v>
      </c>
      <c r="B296" s="3" t="s">
        <v>20</v>
      </c>
      <c r="C296" s="4">
        <v>3600</v>
      </c>
      <c r="D296" s="3">
        <v>0</v>
      </c>
      <c r="E296" s="3" t="s">
        <v>22</v>
      </c>
      <c r="F296" s="3" t="s">
        <v>23</v>
      </c>
      <c r="G296" s="3" t="s">
        <v>15</v>
      </c>
      <c r="H296" s="15" t="str">
        <f t="shared" si="5"/>
        <v>Jul-2024</v>
      </c>
      <c r="I296">
        <f t="shared" si="6"/>
        <v>28</v>
      </c>
      <c r="Y296">
        <v>3600</v>
      </c>
    </row>
    <row r="297" spans="1:25">
      <c r="A297" s="2">
        <v>45482</v>
      </c>
      <c r="B297" s="3" t="s">
        <v>178</v>
      </c>
      <c r="C297" s="4">
        <v>360</v>
      </c>
      <c r="D297" s="3">
        <v>0</v>
      </c>
      <c r="E297" s="3" t="s">
        <v>42</v>
      </c>
      <c r="F297" s="3" t="s">
        <v>14</v>
      </c>
      <c r="G297" s="3" t="s">
        <v>15</v>
      </c>
      <c r="H297" s="15" t="str">
        <f t="shared" si="5"/>
        <v>Jul-2024</v>
      </c>
      <c r="I297">
        <f t="shared" si="6"/>
        <v>28</v>
      </c>
      <c r="Y297">
        <v>360</v>
      </c>
    </row>
    <row r="298" spans="1:25">
      <c r="A298" s="2">
        <v>45482</v>
      </c>
      <c r="B298" s="3" t="s">
        <v>11</v>
      </c>
      <c r="C298" s="4">
        <v>120</v>
      </c>
      <c r="D298" s="3">
        <v>0</v>
      </c>
      <c r="E298" s="3" t="s">
        <v>13</v>
      </c>
      <c r="F298" s="3" t="s">
        <v>14</v>
      </c>
      <c r="G298" s="3" t="s">
        <v>15</v>
      </c>
      <c r="H298" s="15" t="str">
        <f t="shared" si="5"/>
        <v>Jul-2024</v>
      </c>
      <c r="I298">
        <f t="shared" si="6"/>
        <v>28</v>
      </c>
      <c r="Y298">
        <v>120</v>
      </c>
    </row>
    <row r="299" spans="1:25">
      <c r="A299" s="2">
        <v>45483</v>
      </c>
      <c r="B299" s="3" t="s">
        <v>11</v>
      </c>
      <c r="C299" s="4">
        <v>120</v>
      </c>
      <c r="D299" s="3">
        <v>0</v>
      </c>
      <c r="E299" s="3" t="s">
        <v>13</v>
      </c>
      <c r="F299" s="3" t="s">
        <v>14</v>
      </c>
      <c r="G299" s="3" t="s">
        <v>15</v>
      </c>
      <c r="H299" s="15" t="str">
        <f t="shared" si="5"/>
        <v>Jul-2024</v>
      </c>
      <c r="I299">
        <f t="shared" si="6"/>
        <v>28</v>
      </c>
      <c r="Y299">
        <v>120</v>
      </c>
    </row>
    <row r="300" spans="1:25">
      <c r="A300" s="2">
        <v>45484</v>
      </c>
      <c r="B300" s="3" t="s">
        <v>11</v>
      </c>
      <c r="C300" s="4">
        <v>120</v>
      </c>
      <c r="D300" s="3">
        <v>0</v>
      </c>
      <c r="E300" s="3" t="s">
        <v>13</v>
      </c>
      <c r="F300" s="3" t="s">
        <v>14</v>
      </c>
      <c r="G300" s="3" t="s">
        <v>15</v>
      </c>
      <c r="H300" s="15" t="str">
        <f t="shared" si="5"/>
        <v>Jul-2024</v>
      </c>
      <c r="I300">
        <f t="shared" si="6"/>
        <v>28</v>
      </c>
      <c r="Y300">
        <v>120</v>
      </c>
    </row>
    <row r="301" spans="1:25">
      <c r="A301" s="2">
        <v>45484</v>
      </c>
      <c r="B301" s="3" t="s">
        <v>24</v>
      </c>
      <c r="C301" s="4">
        <v>4320</v>
      </c>
      <c r="D301" s="3">
        <v>0</v>
      </c>
      <c r="E301" s="3" t="s">
        <v>26</v>
      </c>
      <c r="F301" s="3" t="s">
        <v>19</v>
      </c>
      <c r="G301" s="3" t="s">
        <v>15</v>
      </c>
      <c r="H301" s="15" t="str">
        <f t="shared" si="5"/>
        <v>Jul-2024</v>
      </c>
      <c r="I301">
        <f t="shared" si="6"/>
        <v>28</v>
      </c>
      <c r="Y301">
        <v>4320</v>
      </c>
    </row>
    <row r="302" spans="1:25">
      <c r="A302" s="2">
        <v>45487</v>
      </c>
      <c r="B302" s="3" t="s">
        <v>27</v>
      </c>
      <c r="C302" s="4">
        <v>1346.4</v>
      </c>
      <c r="D302" s="3">
        <v>0</v>
      </c>
      <c r="E302" s="3" t="s">
        <v>29</v>
      </c>
      <c r="F302" s="3" t="s">
        <v>19</v>
      </c>
      <c r="G302" s="3" t="s">
        <v>15</v>
      </c>
      <c r="H302" s="15" t="str">
        <f t="shared" si="5"/>
        <v>Jul-2024</v>
      </c>
      <c r="I302">
        <f t="shared" si="6"/>
        <v>28</v>
      </c>
      <c r="Y302">
        <v>1346.4</v>
      </c>
    </row>
    <row r="303" spans="1:25">
      <c r="A303" s="2">
        <v>45487</v>
      </c>
      <c r="B303" s="3" t="s">
        <v>11</v>
      </c>
      <c r="C303" s="4">
        <v>120</v>
      </c>
      <c r="D303" s="3">
        <v>0</v>
      </c>
      <c r="E303" s="3" t="s">
        <v>13</v>
      </c>
      <c r="F303" s="3" t="s">
        <v>14</v>
      </c>
      <c r="G303" s="3" t="s">
        <v>15</v>
      </c>
      <c r="H303" s="15" t="str">
        <f t="shared" si="5"/>
        <v>Jul-2024</v>
      </c>
      <c r="I303">
        <f t="shared" si="6"/>
        <v>28</v>
      </c>
      <c r="Y303">
        <v>120</v>
      </c>
    </row>
    <row r="304" spans="1:25">
      <c r="A304" s="2">
        <v>45488</v>
      </c>
      <c r="B304" s="3" t="s">
        <v>11</v>
      </c>
      <c r="C304" s="4">
        <v>120</v>
      </c>
      <c r="D304" s="3">
        <v>0</v>
      </c>
      <c r="E304" s="3" t="s">
        <v>13</v>
      </c>
      <c r="F304" s="3" t="s">
        <v>14</v>
      </c>
      <c r="G304" s="3" t="s">
        <v>15</v>
      </c>
      <c r="H304" s="15" t="str">
        <f t="shared" si="5"/>
        <v>Jul-2024</v>
      </c>
      <c r="I304">
        <f t="shared" si="6"/>
        <v>29</v>
      </c>
      <c r="Y304">
        <v>120</v>
      </c>
    </row>
    <row r="305" spans="1:25">
      <c r="A305" s="2">
        <v>45489</v>
      </c>
      <c r="B305" s="3" t="s">
        <v>30</v>
      </c>
      <c r="C305" s="4">
        <v>1994.4</v>
      </c>
      <c r="D305" s="3">
        <v>0</v>
      </c>
      <c r="E305" s="3" t="s">
        <v>67</v>
      </c>
      <c r="F305" s="3" t="s">
        <v>23</v>
      </c>
      <c r="G305" s="3" t="s">
        <v>15</v>
      </c>
      <c r="H305" s="15" t="str">
        <f t="shared" si="5"/>
        <v>Jul-2024</v>
      </c>
      <c r="I305">
        <f t="shared" si="6"/>
        <v>29</v>
      </c>
      <c r="Y305">
        <v>1994.4</v>
      </c>
    </row>
    <row r="306" spans="1:25">
      <c r="A306" s="2">
        <v>45489</v>
      </c>
      <c r="B306" s="3" t="s">
        <v>11</v>
      </c>
      <c r="C306" s="4">
        <v>120</v>
      </c>
      <c r="D306" s="3">
        <v>0</v>
      </c>
      <c r="E306" s="3" t="s">
        <v>13</v>
      </c>
      <c r="F306" s="3" t="s">
        <v>14</v>
      </c>
      <c r="G306" s="3" t="s">
        <v>15</v>
      </c>
      <c r="H306" s="15" t="str">
        <f t="shared" si="5"/>
        <v>Jul-2024</v>
      </c>
      <c r="I306">
        <f t="shared" si="6"/>
        <v>29</v>
      </c>
      <c r="Y306">
        <v>120</v>
      </c>
    </row>
    <row r="307" spans="1:25">
      <c r="A307" s="2">
        <v>45490</v>
      </c>
      <c r="B307" s="3" t="s">
        <v>11</v>
      </c>
      <c r="C307" s="4">
        <v>120</v>
      </c>
      <c r="D307" s="3">
        <v>0</v>
      </c>
      <c r="E307" s="3" t="s">
        <v>13</v>
      </c>
      <c r="F307" s="3" t="s">
        <v>14</v>
      </c>
      <c r="G307" s="3" t="s">
        <v>15</v>
      </c>
      <c r="H307" s="15" t="str">
        <f t="shared" si="5"/>
        <v>Jul-2024</v>
      </c>
      <c r="I307">
        <f t="shared" si="6"/>
        <v>29</v>
      </c>
      <c r="Y307">
        <v>120</v>
      </c>
    </row>
    <row r="308" spans="1:25">
      <c r="A308" s="2">
        <v>45491</v>
      </c>
      <c r="B308" s="3" t="s">
        <v>24</v>
      </c>
      <c r="C308" s="4">
        <v>3386.4</v>
      </c>
      <c r="D308" s="3">
        <v>0</v>
      </c>
      <c r="E308" s="3" t="s">
        <v>26</v>
      </c>
      <c r="F308" s="3" t="s">
        <v>19</v>
      </c>
      <c r="G308" s="3" t="s">
        <v>15</v>
      </c>
      <c r="H308" s="15" t="str">
        <f t="shared" si="5"/>
        <v>Jul-2024</v>
      </c>
      <c r="I308">
        <f t="shared" si="6"/>
        <v>29</v>
      </c>
      <c r="Y308">
        <v>3386.4</v>
      </c>
    </row>
    <row r="309" spans="1:25">
      <c r="A309" s="2">
        <v>45491</v>
      </c>
      <c r="B309" s="3" t="s">
        <v>11</v>
      </c>
      <c r="C309" s="4">
        <v>120</v>
      </c>
      <c r="D309" s="3">
        <v>0</v>
      </c>
      <c r="E309" s="3" t="s">
        <v>13</v>
      </c>
      <c r="F309" s="3" t="s">
        <v>14</v>
      </c>
      <c r="G309" s="3" t="s">
        <v>15</v>
      </c>
      <c r="H309" s="15" t="str">
        <f t="shared" si="5"/>
        <v>Jul-2024</v>
      </c>
      <c r="I309">
        <f t="shared" si="6"/>
        <v>29</v>
      </c>
      <c r="Y309">
        <v>120</v>
      </c>
    </row>
    <row r="310" spans="1:25">
      <c r="A310" s="2">
        <v>45492</v>
      </c>
      <c r="B310" s="3" t="s">
        <v>11</v>
      </c>
      <c r="C310" s="4">
        <v>120</v>
      </c>
      <c r="D310" s="3">
        <v>0</v>
      </c>
      <c r="E310" s="3" t="s">
        <v>13</v>
      </c>
      <c r="F310" s="3" t="s">
        <v>14</v>
      </c>
      <c r="G310" s="3" t="s">
        <v>15</v>
      </c>
      <c r="H310" s="15" t="str">
        <f t="shared" si="5"/>
        <v>Jul-2024</v>
      </c>
      <c r="I310">
        <f t="shared" si="6"/>
        <v>29</v>
      </c>
      <c r="Y310">
        <v>120</v>
      </c>
    </row>
    <row r="311" spans="1:25">
      <c r="A311" s="2">
        <v>45492</v>
      </c>
      <c r="B311" s="3" t="s">
        <v>33</v>
      </c>
      <c r="C311" s="4">
        <v>1099.2</v>
      </c>
      <c r="D311" s="3">
        <v>0</v>
      </c>
      <c r="E311" s="3" t="s">
        <v>35</v>
      </c>
      <c r="F311" s="3" t="s">
        <v>36</v>
      </c>
      <c r="G311" s="3" t="s">
        <v>15</v>
      </c>
      <c r="H311" s="15" t="str">
        <f t="shared" si="5"/>
        <v>Jul-2024</v>
      </c>
      <c r="I311">
        <f t="shared" si="6"/>
        <v>29</v>
      </c>
      <c r="Y311">
        <v>1099.2</v>
      </c>
    </row>
    <row r="312" spans="1:25">
      <c r="A312" s="2">
        <v>45492</v>
      </c>
      <c r="B312" s="3" t="s">
        <v>81</v>
      </c>
      <c r="C312" s="4">
        <v>2491.1999999999998</v>
      </c>
      <c r="D312" s="3">
        <v>0</v>
      </c>
      <c r="E312" s="3" t="s">
        <v>39</v>
      </c>
      <c r="F312" s="3" t="s">
        <v>36</v>
      </c>
      <c r="G312" s="3" t="s">
        <v>15</v>
      </c>
      <c r="H312" s="15" t="str">
        <f t="shared" si="5"/>
        <v>Jul-2024</v>
      </c>
      <c r="I312">
        <f t="shared" si="6"/>
        <v>29</v>
      </c>
      <c r="Y312">
        <v>2491.1999999999998</v>
      </c>
    </row>
    <row r="313" spans="1:25">
      <c r="A313" s="2">
        <v>45492</v>
      </c>
      <c r="B313" s="3" t="s">
        <v>40</v>
      </c>
      <c r="C313" s="4">
        <v>1392</v>
      </c>
      <c r="D313" s="3">
        <v>0</v>
      </c>
      <c r="E313" s="3" t="s">
        <v>42</v>
      </c>
      <c r="F313" s="3" t="s">
        <v>14</v>
      </c>
      <c r="G313" s="3" t="s">
        <v>15</v>
      </c>
      <c r="H313" s="15" t="str">
        <f t="shared" si="5"/>
        <v>Jul-2024</v>
      </c>
      <c r="I313">
        <f t="shared" si="6"/>
        <v>29</v>
      </c>
      <c r="Y313">
        <v>1392</v>
      </c>
    </row>
    <row r="314" spans="1:25">
      <c r="A314" s="2">
        <v>45493</v>
      </c>
      <c r="B314" s="3" t="s">
        <v>43</v>
      </c>
      <c r="C314" s="4">
        <v>820.8</v>
      </c>
      <c r="D314" s="3">
        <v>0</v>
      </c>
      <c r="E314" s="3" t="s">
        <v>45</v>
      </c>
      <c r="F314" s="3" t="s">
        <v>23</v>
      </c>
      <c r="G314" s="3" t="s">
        <v>15</v>
      </c>
      <c r="H314" s="15" t="str">
        <f t="shared" si="5"/>
        <v>Jul-2024</v>
      </c>
      <c r="I314">
        <f t="shared" si="6"/>
        <v>29</v>
      </c>
      <c r="Y314">
        <v>820.8</v>
      </c>
    </row>
    <row r="315" spans="1:25">
      <c r="A315" s="2">
        <v>45494</v>
      </c>
      <c r="B315" s="3" t="s">
        <v>46</v>
      </c>
      <c r="C315" s="4">
        <v>0</v>
      </c>
      <c r="D315" s="3">
        <v>4800</v>
      </c>
      <c r="E315" s="3" t="s">
        <v>48</v>
      </c>
      <c r="F315" s="3" t="s">
        <v>49</v>
      </c>
      <c r="G315" s="3" t="s">
        <v>10</v>
      </c>
      <c r="H315" s="15" t="str">
        <f t="shared" ref="H315:H378" si="7">TEXT(A315,"MMM-YYYY")</f>
        <v>Jul-2024</v>
      </c>
      <c r="I315">
        <f t="shared" si="6"/>
        <v>29</v>
      </c>
      <c r="Y315">
        <v>0</v>
      </c>
    </row>
    <row r="316" spans="1:25">
      <c r="A316" s="2">
        <v>45494</v>
      </c>
      <c r="B316" s="3" t="s">
        <v>11</v>
      </c>
      <c r="C316" s="4">
        <v>120</v>
      </c>
      <c r="D316" s="3">
        <v>0</v>
      </c>
      <c r="E316" s="3" t="s">
        <v>13</v>
      </c>
      <c r="F316" s="3" t="s">
        <v>14</v>
      </c>
      <c r="G316" s="3" t="s">
        <v>15</v>
      </c>
      <c r="H316" s="15" t="str">
        <f t="shared" si="7"/>
        <v>Jul-2024</v>
      </c>
      <c r="I316">
        <f t="shared" si="6"/>
        <v>29</v>
      </c>
      <c r="Y316">
        <v>120</v>
      </c>
    </row>
    <row r="317" spans="1:25">
      <c r="A317" s="2">
        <v>45495</v>
      </c>
      <c r="B317" s="3" t="s">
        <v>11</v>
      </c>
      <c r="C317" s="4">
        <v>120</v>
      </c>
      <c r="D317" s="3">
        <v>0</v>
      </c>
      <c r="E317" s="3" t="s">
        <v>13</v>
      </c>
      <c r="F317" s="3" t="s">
        <v>14</v>
      </c>
      <c r="G317" s="3" t="s">
        <v>15</v>
      </c>
      <c r="H317" s="15" t="str">
        <f t="shared" si="7"/>
        <v>Jul-2024</v>
      </c>
      <c r="I317">
        <f t="shared" si="6"/>
        <v>30</v>
      </c>
      <c r="Y317">
        <v>120</v>
      </c>
    </row>
    <row r="318" spans="1:25">
      <c r="A318" s="2">
        <v>45495</v>
      </c>
      <c r="B318" s="3" t="s">
        <v>51</v>
      </c>
      <c r="C318" s="4">
        <v>960</v>
      </c>
      <c r="D318" s="3">
        <v>0</v>
      </c>
      <c r="E318" s="3" t="s">
        <v>51</v>
      </c>
      <c r="F318" s="3" t="s">
        <v>19</v>
      </c>
      <c r="G318" s="3" t="s">
        <v>15</v>
      </c>
      <c r="H318" s="15" t="str">
        <f t="shared" si="7"/>
        <v>Jul-2024</v>
      </c>
      <c r="I318">
        <f t="shared" si="6"/>
        <v>30</v>
      </c>
      <c r="Y318">
        <v>960</v>
      </c>
    </row>
    <row r="319" spans="1:25">
      <c r="A319" s="2">
        <v>45496</v>
      </c>
      <c r="B319" s="3" t="s">
        <v>52</v>
      </c>
      <c r="C319" s="4">
        <v>1226.4000000000001</v>
      </c>
      <c r="D319" s="3">
        <v>0</v>
      </c>
      <c r="E319" s="3" t="s">
        <v>54</v>
      </c>
      <c r="F319" s="3" t="s">
        <v>36</v>
      </c>
      <c r="G319" s="3" t="s">
        <v>15</v>
      </c>
      <c r="H319" s="15" t="str">
        <f t="shared" si="7"/>
        <v>Jul-2024</v>
      </c>
      <c r="I319">
        <f t="shared" si="6"/>
        <v>30</v>
      </c>
      <c r="Y319">
        <v>1226.4000000000001</v>
      </c>
    </row>
    <row r="320" spans="1:25">
      <c r="A320" s="2">
        <v>45496</v>
      </c>
      <c r="B320" s="3" t="s">
        <v>55</v>
      </c>
      <c r="C320" s="4">
        <v>840</v>
      </c>
      <c r="D320" s="3">
        <v>0</v>
      </c>
      <c r="E320" s="3" t="s">
        <v>35</v>
      </c>
      <c r="F320" s="3" t="s">
        <v>36</v>
      </c>
      <c r="G320" s="3" t="s">
        <v>15</v>
      </c>
      <c r="H320" s="15" t="str">
        <f t="shared" si="7"/>
        <v>Jul-2024</v>
      </c>
      <c r="I320">
        <f t="shared" si="6"/>
        <v>30</v>
      </c>
      <c r="Y320">
        <v>840</v>
      </c>
    </row>
    <row r="321" spans="1:25">
      <c r="A321" s="2">
        <v>45496</v>
      </c>
      <c r="B321" s="3" t="s">
        <v>11</v>
      </c>
      <c r="C321" s="4">
        <v>120</v>
      </c>
      <c r="D321" s="3">
        <v>0</v>
      </c>
      <c r="E321" s="3" t="s">
        <v>13</v>
      </c>
      <c r="F321" s="3" t="s">
        <v>14</v>
      </c>
      <c r="G321" s="3" t="s">
        <v>15</v>
      </c>
      <c r="H321" s="15" t="str">
        <f t="shared" si="7"/>
        <v>Jul-2024</v>
      </c>
      <c r="I321">
        <f t="shared" si="6"/>
        <v>30</v>
      </c>
      <c r="Y321">
        <v>120</v>
      </c>
    </row>
    <row r="322" spans="1:25">
      <c r="A322" s="2">
        <v>45497</v>
      </c>
      <c r="B322" s="3" t="s">
        <v>11</v>
      </c>
      <c r="C322" s="4">
        <v>120</v>
      </c>
      <c r="D322" s="3">
        <v>0</v>
      </c>
      <c r="E322" s="3" t="s">
        <v>13</v>
      </c>
      <c r="F322" s="3" t="s">
        <v>14</v>
      </c>
      <c r="G322" s="3" t="s">
        <v>15</v>
      </c>
      <c r="H322" s="15" t="str">
        <f t="shared" si="7"/>
        <v>Jul-2024</v>
      </c>
      <c r="I322">
        <f t="shared" si="6"/>
        <v>30</v>
      </c>
      <c r="Y322">
        <v>120</v>
      </c>
    </row>
    <row r="323" spans="1:25">
      <c r="A323" s="2">
        <v>45498</v>
      </c>
      <c r="B323" s="3" t="s">
        <v>11</v>
      </c>
      <c r="C323" s="4">
        <v>120</v>
      </c>
      <c r="D323" s="3">
        <v>0</v>
      </c>
      <c r="E323" s="3" t="s">
        <v>13</v>
      </c>
      <c r="F323" s="3" t="s">
        <v>14</v>
      </c>
      <c r="G323" s="3" t="s">
        <v>15</v>
      </c>
      <c r="H323" s="15" t="str">
        <f t="shared" si="7"/>
        <v>Jul-2024</v>
      </c>
      <c r="I323">
        <f t="shared" ref="I323:I386" si="8">WEEKNUM(A323,2)</f>
        <v>30</v>
      </c>
      <c r="Y323">
        <v>120</v>
      </c>
    </row>
    <row r="324" spans="1:25">
      <c r="A324" s="2">
        <v>45498</v>
      </c>
      <c r="B324" s="3" t="s">
        <v>24</v>
      </c>
      <c r="C324" s="4">
        <v>4224</v>
      </c>
      <c r="D324" s="3">
        <v>0</v>
      </c>
      <c r="E324" s="3" t="s">
        <v>26</v>
      </c>
      <c r="F324" s="3" t="s">
        <v>19</v>
      </c>
      <c r="G324" s="3" t="s">
        <v>15</v>
      </c>
      <c r="H324" s="15" t="str">
        <f t="shared" si="7"/>
        <v>Jul-2024</v>
      </c>
      <c r="I324">
        <f t="shared" si="8"/>
        <v>30</v>
      </c>
      <c r="Y324">
        <v>4224</v>
      </c>
    </row>
    <row r="325" spans="1:25">
      <c r="A325" s="2">
        <v>45499</v>
      </c>
      <c r="B325" s="3" t="s">
        <v>58</v>
      </c>
      <c r="C325" s="4">
        <v>1034.4000000000001</v>
      </c>
      <c r="D325" s="3">
        <v>0</v>
      </c>
      <c r="E325" s="3" t="s">
        <v>42</v>
      </c>
      <c r="F325" s="3" t="s">
        <v>14</v>
      </c>
      <c r="G325" s="3" t="s">
        <v>15</v>
      </c>
      <c r="H325" s="15" t="str">
        <f t="shared" si="7"/>
        <v>Jul-2024</v>
      </c>
      <c r="I325">
        <f t="shared" si="8"/>
        <v>30</v>
      </c>
      <c r="Y325">
        <v>1034.4000000000001</v>
      </c>
    </row>
    <row r="326" spans="1:25">
      <c r="A326" s="2">
        <v>45500</v>
      </c>
      <c r="B326" s="3" t="s">
        <v>60</v>
      </c>
      <c r="C326" s="4">
        <v>436.8</v>
      </c>
      <c r="D326" s="3">
        <v>0</v>
      </c>
      <c r="E326" s="3" t="s">
        <v>42</v>
      </c>
      <c r="F326" s="3" t="s">
        <v>14</v>
      </c>
      <c r="G326" s="3" t="s">
        <v>15</v>
      </c>
      <c r="H326" s="15" t="str">
        <f t="shared" si="7"/>
        <v>Jul-2024</v>
      </c>
      <c r="I326">
        <f t="shared" si="8"/>
        <v>30</v>
      </c>
      <c r="Y326">
        <v>436.8</v>
      </c>
    </row>
    <row r="327" spans="1:25">
      <c r="A327" s="2">
        <v>45501</v>
      </c>
      <c r="B327" s="3" t="s">
        <v>62</v>
      </c>
      <c r="C327" s="4">
        <v>1320</v>
      </c>
      <c r="D327" s="3">
        <v>0</v>
      </c>
      <c r="E327" s="3" t="s">
        <v>64</v>
      </c>
      <c r="F327" s="3" t="s">
        <v>65</v>
      </c>
      <c r="G327" s="3" t="s">
        <v>15</v>
      </c>
      <c r="H327" s="15" t="str">
        <f t="shared" si="7"/>
        <v>Jul-2024</v>
      </c>
      <c r="I327">
        <f t="shared" si="8"/>
        <v>30</v>
      </c>
      <c r="Y327">
        <v>1320</v>
      </c>
    </row>
    <row r="328" spans="1:25">
      <c r="A328" s="2">
        <v>45501</v>
      </c>
      <c r="B328" s="3" t="s">
        <v>30</v>
      </c>
      <c r="C328" s="4">
        <v>1651.2</v>
      </c>
      <c r="D328" s="3">
        <v>0</v>
      </c>
      <c r="E328" s="3" t="s">
        <v>67</v>
      </c>
      <c r="F328" s="3" t="s">
        <v>23</v>
      </c>
      <c r="G328" s="3" t="s">
        <v>15</v>
      </c>
      <c r="H328" s="15" t="str">
        <f t="shared" si="7"/>
        <v>Jul-2024</v>
      </c>
      <c r="I328">
        <f t="shared" si="8"/>
        <v>30</v>
      </c>
      <c r="Y328">
        <v>1651.2</v>
      </c>
    </row>
    <row r="329" spans="1:25">
      <c r="A329" s="2">
        <v>45501</v>
      </c>
      <c r="B329" s="3" t="s">
        <v>11</v>
      </c>
      <c r="C329" s="4">
        <v>120</v>
      </c>
      <c r="D329" s="3">
        <v>0</v>
      </c>
      <c r="E329" s="3" t="s">
        <v>13</v>
      </c>
      <c r="F329" s="3" t="s">
        <v>14</v>
      </c>
      <c r="G329" s="3" t="s">
        <v>15</v>
      </c>
      <c r="H329" s="15" t="str">
        <f t="shared" si="7"/>
        <v>Jul-2024</v>
      </c>
      <c r="I329">
        <f t="shared" si="8"/>
        <v>30</v>
      </c>
      <c r="Y329">
        <v>120</v>
      </c>
    </row>
    <row r="330" spans="1:25">
      <c r="A330" s="2">
        <v>45502</v>
      </c>
      <c r="B330" s="3" t="s">
        <v>11</v>
      </c>
      <c r="C330" s="4">
        <v>120</v>
      </c>
      <c r="D330" s="3">
        <v>0</v>
      </c>
      <c r="E330" s="3" t="s">
        <v>13</v>
      </c>
      <c r="F330" s="3" t="s">
        <v>14</v>
      </c>
      <c r="G330" s="3" t="s">
        <v>15</v>
      </c>
      <c r="H330" s="15" t="str">
        <f t="shared" si="7"/>
        <v>Jul-2024</v>
      </c>
      <c r="I330">
        <f t="shared" si="8"/>
        <v>31</v>
      </c>
      <c r="Y330">
        <v>120</v>
      </c>
    </row>
    <row r="331" spans="1:25">
      <c r="A331" s="2">
        <v>45503</v>
      </c>
      <c r="B331" s="3" t="s">
        <v>11</v>
      </c>
      <c r="C331" s="4">
        <v>120</v>
      </c>
      <c r="D331" s="3">
        <v>0</v>
      </c>
      <c r="E331" s="3" t="s">
        <v>13</v>
      </c>
      <c r="F331" s="3" t="s">
        <v>14</v>
      </c>
      <c r="G331" s="3" t="s">
        <v>15</v>
      </c>
      <c r="H331" s="15" t="str">
        <f t="shared" si="7"/>
        <v>Jul-2024</v>
      </c>
      <c r="I331">
        <f t="shared" si="8"/>
        <v>31</v>
      </c>
      <c r="Y331">
        <v>120</v>
      </c>
    </row>
    <row r="332" spans="1:25">
      <c r="A332" s="2">
        <v>45504</v>
      </c>
      <c r="B332" s="3" t="s">
        <v>11</v>
      </c>
      <c r="C332" s="4">
        <v>120</v>
      </c>
      <c r="D332" s="3">
        <v>0</v>
      </c>
      <c r="E332" s="3" t="s">
        <v>13</v>
      </c>
      <c r="F332" s="3" t="s">
        <v>14</v>
      </c>
      <c r="G332" s="3" t="s">
        <v>15</v>
      </c>
      <c r="H332" s="15" t="str">
        <f t="shared" si="7"/>
        <v>Jul-2024</v>
      </c>
      <c r="I332">
        <f t="shared" si="8"/>
        <v>31</v>
      </c>
      <c r="Y332">
        <v>120</v>
      </c>
    </row>
    <row r="333" spans="1:25">
      <c r="A333" s="2">
        <v>45505</v>
      </c>
      <c r="B333" s="3" t="s">
        <v>11</v>
      </c>
      <c r="C333" s="4">
        <v>120</v>
      </c>
      <c r="D333" s="3">
        <v>0</v>
      </c>
      <c r="E333" s="3" t="s">
        <v>13</v>
      </c>
      <c r="F333" s="3" t="s">
        <v>14</v>
      </c>
      <c r="G333" s="3" t="s">
        <v>15</v>
      </c>
      <c r="H333" s="15" t="str">
        <f t="shared" si="7"/>
        <v>Aug-2024</v>
      </c>
      <c r="I333">
        <f t="shared" si="8"/>
        <v>31</v>
      </c>
      <c r="Y333">
        <v>120</v>
      </c>
    </row>
    <row r="334" spans="1:25">
      <c r="A334" s="2">
        <v>45505</v>
      </c>
      <c r="B334" s="3" t="s">
        <v>24</v>
      </c>
      <c r="C334" s="4">
        <v>4632</v>
      </c>
      <c r="D334" s="3">
        <v>0</v>
      </c>
      <c r="E334" s="3" t="s">
        <v>26</v>
      </c>
      <c r="F334" s="3" t="s">
        <v>19</v>
      </c>
      <c r="G334" s="3" t="s">
        <v>15</v>
      </c>
      <c r="H334" s="15" t="str">
        <f t="shared" si="7"/>
        <v>Aug-2024</v>
      </c>
      <c r="I334">
        <f t="shared" si="8"/>
        <v>31</v>
      </c>
      <c r="Y334">
        <v>4632</v>
      </c>
    </row>
    <row r="335" spans="1:25">
      <c r="A335" s="2">
        <v>45506</v>
      </c>
      <c r="B335" s="3" t="s">
        <v>69</v>
      </c>
      <c r="C335" s="4">
        <v>3139.2</v>
      </c>
      <c r="D335" s="3">
        <v>0</v>
      </c>
      <c r="E335" s="3" t="s">
        <v>39</v>
      </c>
      <c r="F335" s="3" t="s">
        <v>36</v>
      </c>
      <c r="G335" s="3" t="s">
        <v>15</v>
      </c>
      <c r="H335" s="15" t="str">
        <f t="shared" si="7"/>
        <v>Aug-2024</v>
      </c>
      <c r="I335">
        <f t="shared" si="8"/>
        <v>31</v>
      </c>
      <c r="Y335">
        <v>3139.2</v>
      </c>
    </row>
    <row r="336" spans="1:25">
      <c r="A336" s="2">
        <v>45506</v>
      </c>
      <c r="B336" s="3" t="s">
        <v>155</v>
      </c>
      <c r="C336" s="4">
        <v>4353.6000000000004</v>
      </c>
      <c r="D336" s="3">
        <v>0</v>
      </c>
      <c r="E336" s="3" t="s">
        <v>157</v>
      </c>
      <c r="F336" s="3" t="s">
        <v>36</v>
      </c>
      <c r="G336" s="3" t="s">
        <v>15</v>
      </c>
      <c r="H336" s="15" t="str">
        <f t="shared" si="7"/>
        <v>Aug-2024</v>
      </c>
      <c r="I336">
        <f t="shared" si="8"/>
        <v>31</v>
      </c>
      <c r="Y336">
        <v>4353.6000000000004</v>
      </c>
    </row>
    <row r="337" spans="1:25">
      <c r="A337" s="2">
        <v>45507</v>
      </c>
      <c r="B337" s="3" t="s">
        <v>37</v>
      </c>
      <c r="C337" s="4">
        <v>3628.8</v>
      </c>
      <c r="D337" s="3">
        <v>0</v>
      </c>
      <c r="E337" s="3" t="s">
        <v>39</v>
      </c>
      <c r="F337" s="3" t="s">
        <v>36</v>
      </c>
      <c r="G337" s="3" t="s">
        <v>15</v>
      </c>
      <c r="H337" s="15" t="str">
        <f t="shared" si="7"/>
        <v>Aug-2024</v>
      </c>
      <c r="I337">
        <f t="shared" si="8"/>
        <v>31</v>
      </c>
      <c r="Y337">
        <v>3628.8</v>
      </c>
    </row>
    <row r="338" spans="1:25">
      <c r="A338" s="2">
        <v>45507</v>
      </c>
      <c r="B338" s="3" t="s">
        <v>43</v>
      </c>
      <c r="C338" s="4">
        <v>703.2</v>
      </c>
      <c r="D338" s="3">
        <v>0</v>
      </c>
      <c r="E338" s="3" t="s">
        <v>45</v>
      </c>
      <c r="F338" s="3" t="s">
        <v>23</v>
      </c>
      <c r="G338" s="3" t="s">
        <v>15</v>
      </c>
      <c r="H338" s="15" t="str">
        <f t="shared" si="7"/>
        <v>Aug-2024</v>
      </c>
      <c r="I338">
        <f t="shared" si="8"/>
        <v>31</v>
      </c>
      <c r="Y338">
        <v>703.2</v>
      </c>
    </row>
    <row r="339" spans="1:25">
      <c r="A339" s="2">
        <v>45507</v>
      </c>
      <c r="B339" s="3" t="s">
        <v>121</v>
      </c>
      <c r="C339" s="4">
        <v>360</v>
      </c>
      <c r="D339" s="3">
        <v>0</v>
      </c>
      <c r="E339" s="3" t="s">
        <v>42</v>
      </c>
      <c r="F339" s="3" t="s">
        <v>14</v>
      </c>
      <c r="G339" s="3" t="s">
        <v>15</v>
      </c>
      <c r="H339" s="15" t="str">
        <f t="shared" si="7"/>
        <v>Aug-2024</v>
      </c>
      <c r="I339">
        <f t="shared" si="8"/>
        <v>31</v>
      </c>
      <c r="Y339">
        <v>360</v>
      </c>
    </row>
    <row r="340" spans="1:25">
      <c r="A340" s="2">
        <v>45508</v>
      </c>
      <c r="B340" s="3" t="s">
        <v>11</v>
      </c>
      <c r="C340" s="4">
        <v>120</v>
      </c>
      <c r="D340" s="3">
        <v>0</v>
      </c>
      <c r="E340" s="3" t="s">
        <v>13</v>
      </c>
      <c r="F340" s="3" t="s">
        <v>14</v>
      </c>
      <c r="G340" s="3" t="s">
        <v>15</v>
      </c>
      <c r="H340" s="15" t="str">
        <f t="shared" si="7"/>
        <v>Aug-2024</v>
      </c>
      <c r="I340">
        <f t="shared" si="8"/>
        <v>31</v>
      </c>
      <c r="Y340">
        <v>120</v>
      </c>
    </row>
    <row r="341" spans="1:25">
      <c r="A341" s="2">
        <v>45510</v>
      </c>
      <c r="B341" s="3" t="s">
        <v>11</v>
      </c>
      <c r="C341" s="4">
        <v>120</v>
      </c>
      <c r="D341" s="3">
        <v>0</v>
      </c>
      <c r="E341" s="3" t="s">
        <v>13</v>
      </c>
      <c r="F341" s="3" t="s">
        <v>14</v>
      </c>
      <c r="G341" s="3" t="s">
        <v>15</v>
      </c>
      <c r="H341" s="15" t="str">
        <f t="shared" si="7"/>
        <v>Aug-2024</v>
      </c>
      <c r="I341">
        <f t="shared" si="8"/>
        <v>32</v>
      </c>
      <c r="Y341">
        <v>120</v>
      </c>
    </row>
    <row r="342" spans="1:25">
      <c r="A342" s="2">
        <v>45510</v>
      </c>
      <c r="B342" s="3" t="s">
        <v>7</v>
      </c>
      <c r="C342" s="4">
        <v>0</v>
      </c>
      <c r="D342" s="3">
        <v>120000</v>
      </c>
      <c r="E342" s="3" t="s">
        <v>75</v>
      </c>
      <c r="F342" s="3" t="s">
        <v>9</v>
      </c>
      <c r="G342" s="3" t="s">
        <v>10</v>
      </c>
      <c r="H342" s="15" t="str">
        <f t="shared" si="7"/>
        <v>Aug-2024</v>
      </c>
      <c r="I342">
        <f t="shared" si="8"/>
        <v>32</v>
      </c>
      <c r="Y342">
        <v>0</v>
      </c>
    </row>
    <row r="343" spans="1:25">
      <c r="A343" s="2">
        <v>45511</v>
      </c>
      <c r="B343" s="3" t="s">
        <v>11</v>
      </c>
      <c r="C343" s="4">
        <v>120</v>
      </c>
      <c r="D343" s="3">
        <v>0</v>
      </c>
      <c r="E343" s="3" t="s">
        <v>13</v>
      </c>
      <c r="F343" s="3" t="s">
        <v>14</v>
      </c>
      <c r="G343" s="3" t="s">
        <v>15</v>
      </c>
      <c r="H343" s="15" t="str">
        <f t="shared" si="7"/>
        <v>Aug-2024</v>
      </c>
      <c r="I343">
        <f t="shared" si="8"/>
        <v>32</v>
      </c>
      <c r="Y343">
        <v>120</v>
      </c>
    </row>
    <row r="344" spans="1:25">
      <c r="A344" s="2">
        <v>45513</v>
      </c>
      <c r="B344" s="3" t="s">
        <v>16</v>
      </c>
      <c r="C344" s="4">
        <v>21600</v>
      </c>
      <c r="D344" s="3">
        <v>0</v>
      </c>
      <c r="E344" s="3" t="s">
        <v>18</v>
      </c>
      <c r="F344" s="3" t="s">
        <v>19</v>
      </c>
      <c r="G344" s="3" t="s">
        <v>15</v>
      </c>
      <c r="H344" s="15" t="str">
        <f t="shared" si="7"/>
        <v>Aug-2024</v>
      </c>
      <c r="I344">
        <f t="shared" si="8"/>
        <v>32</v>
      </c>
      <c r="Y344">
        <v>21600</v>
      </c>
    </row>
    <row r="345" spans="1:25">
      <c r="A345" s="2">
        <v>45513</v>
      </c>
      <c r="B345" s="3" t="s">
        <v>20</v>
      </c>
      <c r="C345" s="4">
        <v>3600</v>
      </c>
      <c r="D345" s="3">
        <v>0</v>
      </c>
      <c r="E345" s="3" t="s">
        <v>22</v>
      </c>
      <c r="F345" s="3" t="s">
        <v>23</v>
      </c>
      <c r="G345" s="3" t="s">
        <v>15</v>
      </c>
      <c r="H345" s="15" t="str">
        <f t="shared" si="7"/>
        <v>Aug-2024</v>
      </c>
      <c r="I345">
        <f t="shared" si="8"/>
        <v>32</v>
      </c>
      <c r="Y345">
        <v>3600</v>
      </c>
    </row>
    <row r="346" spans="1:25">
      <c r="A346" s="2">
        <v>45513</v>
      </c>
      <c r="B346" s="3" t="s">
        <v>11</v>
      </c>
      <c r="C346" s="4">
        <v>120</v>
      </c>
      <c r="D346" s="3">
        <v>0</v>
      </c>
      <c r="E346" s="3" t="s">
        <v>13</v>
      </c>
      <c r="F346" s="3" t="s">
        <v>14</v>
      </c>
      <c r="G346" s="3" t="s">
        <v>15</v>
      </c>
      <c r="H346" s="15" t="str">
        <f t="shared" si="7"/>
        <v>Aug-2024</v>
      </c>
      <c r="I346">
        <f t="shared" si="8"/>
        <v>32</v>
      </c>
      <c r="Y346">
        <v>120</v>
      </c>
    </row>
    <row r="347" spans="1:25">
      <c r="A347" s="2">
        <v>45513</v>
      </c>
      <c r="B347" s="3" t="s">
        <v>11</v>
      </c>
      <c r="C347" s="4">
        <v>120</v>
      </c>
      <c r="D347" s="3">
        <v>0</v>
      </c>
      <c r="E347" s="3" t="s">
        <v>13</v>
      </c>
      <c r="F347" s="3" t="s">
        <v>14</v>
      </c>
      <c r="G347" s="3" t="s">
        <v>15</v>
      </c>
      <c r="H347" s="15" t="str">
        <f t="shared" si="7"/>
        <v>Aug-2024</v>
      </c>
      <c r="I347">
        <f t="shared" si="8"/>
        <v>32</v>
      </c>
      <c r="Y347">
        <v>120</v>
      </c>
    </row>
    <row r="348" spans="1:25">
      <c r="A348" s="2">
        <v>45514</v>
      </c>
      <c r="B348" s="3" t="s">
        <v>11</v>
      </c>
      <c r="C348" s="4">
        <v>120</v>
      </c>
      <c r="D348" s="3">
        <v>0</v>
      </c>
      <c r="E348" s="3" t="s">
        <v>13</v>
      </c>
      <c r="F348" s="3" t="s">
        <v>14</v>
      </c>
      <c r="G348" s="3" t="s">
        <v>15</v>
      </c>
      <c r="H348" s="15" t="str">
        <f t="shared" si="7"/>
        <v>Aug-2024</v>
      </c>
      <c r="I348">
        <f t="shared" si="8"/>
        <v>32</v>
      </c>
      <c r="Y348">
        <v>120</v>
      </c>
    </row>
    <row r="349" spans="1:25">
      <c r="A349" s="2">
        <v>45515</v>
      </c>
      <c r="B349" s="3" t="s">
        <v>11</v>
      </c>
      <c r="C349" s="4">
        <v>120</v>
      </c>
      <c r="D349" s="3">
        <v>0</v>
      </c>
      <c r="E349" s="3" t="s">
        <v>13</v>
      </c>
      <c r="F349" s="3" t="s">
        <v>14</v>
      </c>
      <c r="G349" s="3" t="s">
        <v>15</v>
      </c>
      <c r="H349" s="15" t="str">
        <f t="shared" si="7"/>
        <v>Aug-2024</v>
      </c>
      <c r="I349">
        <f t="shared" si="8"/>
        <v>32</v>
      </c>
      <c r="Y349">
        <v>120</v>
      </c>
    </row>
    <row r="350" spans="1:25">
      <c r="A350" s="2">
        <v>45515</v>
      </c>
      <c r="B350" s="3" t="s">
        <v>24</v>
      </c>
      <c r="C350" s="4">
        <v>3288</v>
      </c>
      <c r="D350" s="3">
        <v>0</v>
      </c>
      <c r="E350" s="3" t="s">
        <v>26</v>
      </c>
      <c r="F350" s="3" t="s">
        <v>19</v>
      </c>
      <c r="G350" s="3" t="s">
        <v>15</v>
      </c>
      <c r="H350" s="15" t="str">
        <f t="shared" si="7"/>
        <v>Aug-2024</v>
      </c>
      <c r="I350">
        <f t="shared" si="8"/>
        <v>32</v>
      </c>
      <c r="Y350">
        <v>3288</v>
      </c>
    </row>
    <row r="351" spans="1:25">
      <c r="A351" s="2">
        <v>45518</v>
      </c>
      <c r="B351" s="3" t="s">
        <v>27</v>
      </c>
      <c r="C351" s="4">
        <v>1368</v>
      </c>
      <c r="D351" s="3">
        <v>0</v>
      </c>
      <c r="E351" s="3" t="s">
        <v>29</v>
      </c>
      <c r="F351" s="3" t="s">
        <v>19</v>
      </c>
      <c r="G351" s="3" t="s">
        <v>15</v>
      </c>
      <c r="H351" s="15" t="str">
        <f t="shared" si="7"/>
        <v>Aug-2024</v>
      </c>
      <c r="I351">
        <f t="shared" si="8"/>
        <v>33</v>
      </c>
      <c r="Y351">
        <v>1368</v>
      </c>
    </row>
    <row r="352" spans="1:25">
      <c r="A352" s="2">
        <v>45518</v>
      </c>
      <c r="B352" s="3" t="s">
        <v>11</v>
      </c>
      <c r="C352" s="4">
        <v>120</v>
      </c>
      <c r="D352" s="3">
        <v>0</v>
      </c>
      <c r="E352" s="3" t="s">
        <v>13</v>
      </c>
      <c r="F352" s="3" t="s">
        <v>14</v>
      </c>
      <c r="G352" s="3" t="s">
        <v>15</v>
      </c>
      <c r="H352" s="15" t="str">
        <f t="shared" si="7"/>
        <v>Aug-2024</v>
      </c>
      <c r="I352">
        <f t="shared" si="8"/>
        <v>33</v>
      </c>
      <c r="Y352">
        <v>120</v>
      </c>
    </row>
    <row r="353" spans="1:25">
      <c r="A353" s="2">
        <v>45519</v>
      </c>
      <c r="B353" s="3" t="s">
        <v>11</v>
      </c>
      <c r="C353" s="4">
        <v>120</v>
      </c>
      <c r="D353" s="3">
        <v>0</v>
      </c>
      <c r="E353" s="3" t="s">
        <v>13</v>
      </c>
      <c r="F353" s="3" t="s">
        <v>14</v>
      </c>
      <c r="G353" s="3" t="s">
        <v>15</v>
      </c>
      <c r="H353" s="15" t="str">
        <f t="shared" si="7"/>
        <v>Aug-2024</v>
      </c>
      <c r="I353">
        <f t="shared" si="8"/>
        <v>33</v>
      </c>
      <c r="Y353">
        <v>120</v>
      </c>
    </row>
    <row r="354" spans="1:25">
      <c r="A354" s="2">
        <v>45520</v>
      </c>
      <c r="B354" s="3" t="s">
        <v>30</v>
      </c>
      <c r="C354" s="4">
        <v>2020.8</v>
      </c>
      <c r="D354" s="3">
        <v>0</v>
      </c>
      <c r="E354" s="3" t="s">
        <v>67</v>
      </c>
      <c r="F354" s="3" t="s">
        <v>23</v>
      </c>
      <c r="G354" s="3" t="s">
        <v>15</v>
      </c>
      <c r="H354" s="15" t="str">
        <f t="shared" si="7"/>
        <v>Aug-2024</v>
      </c>
      <c r="I354">
        <f t="shared" si="8"/>
        <v>33</v>
      </c>
      <c r="Y354">
        <v>2020.8</v>
      </c>
    </row>
    <row r="355" spans="1:25">
      <c r="A355" s="2">
        <v>45520</v>
      </c>
      <c r="B355" s="3" t="s">
        <v>11</v>
      </c>
      <c r="C355" s="4">
        <v>120</v>
      </c>
      <c r="D355" s="3">
        <v>0</v>
      </c>
      <c r="E355" s="3" t="s">
        <v>13</v>
      </c>
      <c r="F355" s="3" t="s">
        <v>14</v>
      </c>
      <c r="G355" s="3" t="s">
        <v>15</v>
      </c>
      <c r="H355" s="15" t="str">
        <f t="shared" si="7"/>
        <v>Aug-2024</v>
      </c>
      <c r="I355">
        <f t="shared" si="8"/>
        <v>33</v>
      </c>
      <c r="Y355">
        <v>120</v>
      </c>
    </row>
    <row r="356" spans="1:25">
      <c r="A356" s="2">
        <v>45521</v>
      </c>
      <c r="B356" s="3" t="s">
        <v>11</v>
      </c>
      <c r="C356" s="4">
        <v>120</v>
      </c>
      <c r="D356" s="3">
        <v>0</v>
      </c>
      <c r="E356" s="3" t="s">
        <v>13</v>
      </c>
      <c r="F356" s="3" t="s">
        <v>14</v>
      </c>
      <c r="G356" s="3" t="s">
        <v>15</v>
      </c>
      <c r="H356" s="15" t="str">
        <f t="shared" si="7"/>
        <v>Aug-2024</v>
      </c>
      <c r="I356">
        <f t="shared" si="8"/>
        <v>33</v>
      </c>
      <c r="Y356">
        <v>120</v>
      </c>
    </row>
    <row r="357" spans="1:25">
      <c r="A357" s="2">
        <v>45522</v>
      </c>
      <c r="B357" s="3" t="s">
        <v>24</v>
      </c>
      <c r="C357" s="4">
        <v>3410.4</v>
      </c>
      <c r="D357" s="3">
        <v>0</v>
      </c>
      <c r="E357" s="3" t="s">
        <v>26</v>
      </c>
      <c r="F357" s="3" t="s">
        <v>19</v>
      </c>
      <c r="G357" s="3" t="s">
        <v>15</v>
      </c>
      <c r="H357" s="15" t="str">
        <f t="shared" si="7"/>
        <v>Aug-2024</v>
      </c>
      <c r="I357">
        <f t="shared" si="8"/>
        <v>33</v>
      </c>
      <c r="Y357">
        <v>3410.4</v>
      </c>
    </row>
    <row r="358" spans="1:25">
      <c r="A358" s="2">
        <v>45522</v>
      </c>
      <c r="B358" s="3" t="s">
        <v>11</v>
      </c>
      <c r="C358" s="4">
        <v>120</v>
      </c>
      <c r="D358" s="3">
        <v>0</v>
      </c>
      <c r="E358" s="3" t="s">
        <v>13</v>
      </c>
      <c r="F358" s="3" t="s">
        <v>14</v>
      </c>
      <c r="G358" s="3" t="s">
        <v>15</v>
      </c>
      <c r="H358" s="15" t="str">
        <f t="shared" si="7"/>
        <v>Aug-2024</v>
      </c>
      <c r="I358">
        <f t="shared" si="8"/>
        <v>33</v>
      </c>
      <c r="Y358">
        <v>120</v>
      </c>
    </row>
    <row r="359" spans="1:25">
      <c r="A359" s="2">
        <v>45523</v>
      </c>
      <c r="B359" s="3" t="s">
        <v>11</v>
      </c>
      <c r="C359" s="4">
        <v>120</v>
      </c>
      <c r="D359" s="3">
        <v>0</v>
      </c>
      <c r="E359" s="3" t="s">
        <v>13</v>
      </c>
      <c r="F359" s="3" t="s">
        <v>14</v>
      </c>
      <c r="G359" s="3" t="s">
        <v>15</v>
      </c>
      <c r="H359" s="15" t="str">
        <f t="shared" si="7"/>
        <v>Aug-2024</v>
      </c>
      <c r="I359">
        <f t="shared" si="8"/>
        <v>34</v>
      </c>
      <c r="Y359">
        <v>120</v>
      </c>
    </row>
    <row r="360" spans="1:25">
      <c r="A360" s="2">
        <v>45523</v>
      </c>
      <c r="B360" s="3" t="s">
        <v>33</v>
      </c>
      <c r="C360" s="4">
        <v>1123.2</v>
      </c>
      <c r="D360" s="3">
        <v>0</v>
      </c>
      <c r="E360" s="3" t="s">
        <v>35</v>
      </c>
      <c r="F360" s="3" t="s">
        <v>36</v>
      </c>
      <c r="G360" s="3" t="s">
        <v>15</v>
      </c>
      <c r="H360" s="15" t="str">
        <f t="shared" si="7"/>
        <v>Aug-2024</v>
      </c>
      <c r="I360">
        <f t="shared" si="8"/>
        <v>34</v>
      </c>
      <c r="Y360">
        <v>1123.2</v>
      </c>
    </row>
    <row r="361" spans="1:25">
      <c r="A361" s="2">
        <v>45523</v>
      </c>
      <c r="B361" s="3" t="s">
        <v>200</v>
      </c>
      <c r="C361" s="4">
        <v>2512.8000000000002</v>
      </c>
      <c r="D361" s="3">
        <v>0</v>
      </c>
      <c r="E361" s="3" t="s">
        <v>39</v>
      </c>
      <c r="F361" s="3" t="s">
        <v>36</v>
      </c>
      <c r="G361" s="3" t="s">
        <v>15</v>
      </c>
      <c r="H361" s="15" t="str">
        <f t="shared" si="7"/>
        <v>Aug-2024</v>
      </c>
      <c r="I361">
        <f t="shared" si="8"/>
        <v>34</v>
      </c>
      <c r="Y361">
        <v>2512.8000000000002</v>
      </c>
    </row>
    <row r="362" spans="1:25">
      <c r="A362" s="2">
        <v>45523</v>
      </c>
      <c r="B362" s="3" t="s">
        <v>40</v>
      </c>
      <c r="C362" s="4">
        <v>1418.4</v>
      </c>
      <c r="D362" s="3">
        <v>0</v>
      </c>
      <c r="E362" s="3" t="s">
        <v>42</v>
      </c>
      <c r="F362" s="3" t="s">
        <v>14</v>
      </c>
      <c r="G362" s="3" t="s">
        <v>15</v>
      </c>
      <c r="H362" s="15" t="str">
        <f t="shared" si="7"/>
        <v>Aug-2024</v>
      </c>
      <c r="I362">
        <f t="shared" si="8"/>
        <v>34</v>
      </c>
      <c r="Y362">
        <v>1418.4</v>
      </c>
    </row>
    <row r="363" spans="1:25">
      <c r="A363" s="2">
        <v>45524</v>
      </c>
      <c r="B363" s="3" t="s">
        <v>43</v>
      </c>
      <c r="C363" s="4">
        <v>842.4</v>
      </c>
      <c r="D363" s="3">
        <v>0</v>
      </c>
      <c r="E363" s="3" t="s">
        <v>45</v>
      </c>
      <c r="F363" s="3" t="s">
        <v>23</v>
      </c>
      <c r="G363" s="3" t="s">
        <v>15</v>
      </c>
      <c r="H363" s="15" t="str">
        <f t="shared" si="7"/>
        <v>Aug-2024</v>
      </c>
      <c r="I363">
        <f t="shared" si="8"/>
        <v>34</v>
      </c>
      <c r="Y363">
        <v>842.4</v>
      </c>
    </row>
    <row r="364" spans="1:25">
      <c r="A364" s="2">
        <v>45525</v>
      </c>
      <c r="B364" s="3" t="s">
        <v>46</v>
      </c>
      <c r="C364" s="4">
        <v>0</v>
      </c>
      <c r="D364" s="3">
        <v>19200</v>
      </c>
      <c r="E364" s="3" t="s">
        <v>48</v>
      </c>
      <c r="F364" s="3" t="s">
        <v>49</v>
      </c>
      <c r="G364" s="3" t="s">
        <v>10</v>
      </c>
      <c r="H364" s="15" t="str">
        <f t="shared" si="7"/>
        <v>Aug-2024</v>
      </c>
      <c r="I364">
        <f t="shared" si="8"/>
        <v>34</v>
      </c>
      <c r="Y364">
        <v>0</v>
      </c>
    </row>
    <row r="365" spans="1:25">
      <c r="A365" s="2">
        <v>45525</v>
      </c>
      <c r="B365" s="3" t="s">
        <v>11</v>
      </c>
      <c r="C365" s="4">
        <v>120</v>
      </c>
      <c r="D365" s="3">
        <v>0</v>
      </c>
      <c r="E365" s="3" t="s">
        <v>13</v>
      </c>
      <c r="F365" s="3" t="s">
        <v>14</v>
      </c>
      <c r="G365" s="3" t="s">
        <v>15</v>
      </c>
      <c r="H365" s="15" t="str">
        <f t="shared" si="7"/>
        <v>Aug-2024</v>
      </c>
      <c r="I365">
        <f t="shared" si="8"/>
        <v>34</v>
      </c>
      <c r="Y365">
        <v>120</v>
      </c>
    </row>
    <row r="366" spans="1:25">
      <c r="A366" s="2">
        <v>45526</v>
      </c>
      <c r="B366" s="3" t="s">
        <v>11</v>
      </c>
      <c r="C366" s="4">
        <v>120</v>
      </c>
      <c r="D366" s="3">
        <v>0</v>
      </c>
      <c r="E366" s="3" t="s">
        <v>13</v>
      </c>
      <c r="F366" s="3" t="s">
        <v>14</v>
      </c>
      <c r="G366" s="3" t="s">
        <v>15</v>
      </c>
      <c r="H366" s="15" t="str">
        <f t="shared" si="7"/>
        <v>Aug-2024</v>
      </c>
      <c r="I366">
        <f t="shared" si="8"/>
        <v>34</v>
      </c>
      <c r="Y366">
        <v>120</v>
      </c>
    </row>
    <row r="367" spans="1:25">
      <c r="A367" s="2">
        <v>45526</v>
      </c>
      <c r="B367" s="3" t="s">
        <v>51</v>
      </c>
      <c r="C367" s="4">
        <v>960</v>
      </c>
      <c r="D367" s="3">
        <v>0</v>
      </c>
      <c r="E367" s="3" t="s">
        <v>51</v>
      </c>
      <c r="F367" s="3" t="s">
        <v>19</v>
      </c>
      <c r="G367" s="3" t="s">
        <v>15</v>
      </c>
      <c r="H367" s="15" t="str">
        <f t="shared" si="7"/>
        <v>Aug-2024</v>
      </c>
      <c r="I367">
        <f t="shared" si="8"/>
        <v>34</v>
      </c>
      <c r="Y367">
        <v>960</v>
      </c>
    </row>
    <row r="368" spans="1:25">
      <c r="A368" s="2">
        <v>45527</v>
      </c>
      <c r="B368" s="3" t="s">
        <v>52</v>
      </c>
      <c r="C368" s="4">
        <v>1250.4000000000001</v>
      </c>
      <c r="D368" s="3">
        <v>0</v>
      </c>
      <c r="E368" s="3" t="s">
        <v>54</v>
      </c>
      <c r="F368" s="3" t="s">
        <v>36</v>
      </c>
      <c r="G368" s="3" t="s">
        <v>15</v>
      </c>
      <c r="H368" s="15" t="str">
        <f t="shared" si="7"/>
        <v>Aug-2024</v>
      </c>
      <c r="I368">
        <f t="shared" si="8"/>
        <v>34</v>
      </c>
      <c r="Y368">
        <v>1250.4000000000001</v>
      </c>
    </row>
    <row r="369" spans="1:25">
      <c r="A369" s="2">
        <v>45527</v>
      </c>
      <c r="B369" s="3" t="s">
        <v>55</v>
      </c>
      <c r="C369" s="4">
        <v>840</v>
      </c>
      <c r="D369" s="3">
        <v>0</v>
      </c>
      <c r="E369" s="3" t="s">
        <v>35</v>
      </c>
      <c r="F369" s="3" t="s">
        <v>36</v>
      </c>
      <c r="G369" s="3" t="s">
        <v>15</v>
      </c>
      <c r="H369" s="15" t="str">
        <f t="shared" si="7"/>
        <v>Aug-2024</v>
      </c>
      <c r="I369">
        <f t="shared" si="8"/>
        <v>34</v>
      </c>
      <c r="Y369">
        <v>840</v>
      </c>
    </row>
    <row r="370" spans="1:25">
      <c r="A370" s="2">
        <v>45527</v>
      </c>
      <c r="B370" s="3" t="s">
        <v>11</v>
      </c>
      <c r="C370" s="4">
        <v>120</v>
      </c>
      <c r="D370" s="3">
        <v>0</v>
      </c>
      <c r="E370" s="3" t="s">
        <v>13</v>
      </c>
      <c r="F370" s="3" t="s">
        <v>14</v>
      </c>
      <c r="G370" s="3" t="s">
        <v>15</v>
      </c>
      <c r="H370" s="15" t="str">
        <f t="shared" si="7"/>
        <v>Aug-2024</v>
      </c>
      <c r="I370">
        <f t="shared" si="8"/>
        <v>34</v>
      </c>
      <c r="Y370">
        <v>120</v>
      </c>
    </row>
    <row r="371" spans="1:25">
      <c r="A371" s="2">
        <v>45528</v>
      </c>
      <c r="B371" s="3" t="s">
        <v>11</v>
      </c>
      <c r="C371" s="4">
        <v>120</v>
      </c>
      <c r="D371" s="3">
        <v>0</v>
      </c>
      <c r="E371" s="3" t="s">
        <v>13</v>
      </c>
      <c r="F371" s="3" t="s">
        <v>14</v>
      </c>
      <c r="G371" s="3" t="s">
        <v>15</v>
      </c>
      <c r="H371" s="15" t="str">
        <f t="shared" si="7"/>
        <v>Aug-2024</v>
      </c>
      <c r="I371">
        <f t="shared" si="8"/>
        <v>34</v>
      </c>
      <c r="Y371">
        <v>120</v>
      </c>
    </row>
    <row r="372" spans="1:25">
      <c r="A372" s="2">
        <v>45529</v>
      </c>
      <c r="B372" s="3" t="s">
        <v>11</v>
      </c>
      <c r="C372" s="4">
        <v>120</v>
      </c>
      <c r="D372" s="3">
        <v>0</v>
      </c>
      <c r="E372" s="3" t="s">
        <v>13</v>
      </c>
      <c r="F372" s="3" t="s">
        <v>14</v>
      </c>
      <c r="G372" s="3" t="s">
        <v>15</v>
      </c>
      <c r="H372" s="15" t="str">
        <f t="shared" si="7"/>
        <v>Aug-2024</v>
      </c>
      <c r="I372">
        <f t="shared" si="8"/>
        <v>34</v>
      </c>
      <c r="Y372">
        <v>120</v>
      </c>
    </row>
    <row r="373" spans="1:25">
      <c r="A373" s="2">
        <v>45529</v>
      </c>
      <c r="B373" s="3" t="s">
        <v>24</v>
      </c>
      <c r="C373" s="4">
        <v>4248</v>
      </c>
      <c r="D373" s="3">
        <v>0</v>
      </c>
      <c r="E373" s="3" t="s">
        <v>26</v>
      </c>
      <c r="F373" s="3" t="s">
        <v>19</v>
      </c>
      <c r="G373" s="3" t="s">
        <v>15</v>
      </c>
      <c r="H373" s="15" t="str">
        <f t="shared" si="7"/>
        <v>Aug-2024</v>
      </c>
      <c r="I373">
        <f t="shared" si="8"/>
        <v>34</v>
      </c>
      <c r="Y373">
        <v>4248</v>
      </c>
    </row>
    <row r="374" spans="1:25">
      <c r="A374" s="2">
        <v>45530</v>
      </c>
      <c r="B374" s="3" t="s">
        <v>58</v>
      </c>
      <c r="C374" s="4">
        <v>1060.8</v>
      </c>
      <c r="D374" s="3">
        <v>0</v>
      </c>
      <c r="E374" s="3" t="s">
        <v>42</v>
      </c>
      <c r="F374" s="3" t="s">
        <v>14</v>
      </c>
      <c r="G374" s="3" t="s">
        <v>15</v>
      </c>
      <c r="H374" s="15" t="str">
        <f t="shared" si="7"/>
        <v>Aug-2024</v>
      </c>
      <c r="I374">
        <f t="shared" si="8"/>
        <v>35</v>
      </c>
      <c r="Y374">
        <v>1060.8</v>
      </c>
    </row>
    <row r="375" spans="1:25">
      <c r="A375" s="2">
        <v>45531</v>
      </c>
      <c r="B375" s="3" t="s">
        <v>60</v>
      </c>
      <c r="C375" s="4">
        <v>460.8</v>
      </c>
      <c r="D375" s="3">
        <v>0</v>
      </c>
      <c r="E375" s="3" t="s">
        <v>42</v>
      </c>
      <c r="F375" s="3" t="s">
        <v>14</v>
      </c>
      <c r="G375" s="3" t="s">
        <v>15</v>
      </c>
      <c r="H375" s="15" t="str">
        <f t="shared" si="7"/>
        <v>Aug-2024</v>
      </c>
      <c r="I375">
        <f t="shared" si="8"/>
        <v>35</v>
      </c>
      <c r="Y375">
        <v>460.8</v>
      </c>
    </row>
    <row r="376" spans="1:25">
      <c r="A376" s="2">
        <v>45532</v>
      </c>
      <c r="B376" s="3" t="s">
        <v>62</v>
      </c>
      <c r="C376" s="4">
        <v>1320</v>
      </c>
      <c r="D376" s="3">
        <v>0</v>
      </c>
      <c r="E376" s="3" t="s">
        <v>64</v>
      </c>
      <c r="F376" s="3" t="s">
        <v>65</v>
      </c>
      <c r="G376" s="3" t="s">
        <v>15</v>
      </c>
      <c r="H376" s="15" t="str">
        <f t="shared" si="7"/>
        <v>Aug-2024</v>
      </c>
      <c r="I376">
        <f t="shared" si="8"/>
        <v>35</v>
      </c>
      <c r="Y376">
        <v>1320</v>
      </c>
    </row>
    <row r="377" spans="1:25">
      <c r="A377" s="2">
        <v>45532</v>
      </c>
      <c r="B377" s="3" t="s">
        <v>30</v>
      </c>
      <c r="C377" s="4">
        <v>1672.8</v>
      </c>
      <c r="D377" s="3">
        <v>0</v>
      </c>
      <c r="E377" s="3" t="s">
        <v>67</v>
      </c>
      <c r="F377" s="3" t="s">
        <v>23</v>
      </c>
      <c r="G377" s="3" t="s">
        <v>15</v>
      </c>
      <c r="H377" s="15" t="str">
        <f t="shared" si="7"/>
        <v>Aug-2024</v>
      </c>
      <c r="I377">
        <f t="shared" si="8"/>
        <v>35</v>
      </c>
      <c r="Y377">
        <v>1672.8</v>
      </c>
    </row>
    <row r="378" spans="1:25">
      <c r="A378" s="2">
        <v>45532</v>
      </c>
      <c r="B378" s="3" t="s">
        <v>11</v>
      </c>
      <c r="C378" s="4">
        <v>120</v>
      </c>
      <c r="D378" s="3">
        <v>0</v>
      </c>
      <c r="E378" s="3" t="s">
        <v>13</v>
      </c>
      <c r="F378" s="3" t="s">
        <v>14</v>
      </c>
      <c r="G378" s="3" t="s">
        <v>15</v>
      </c>
      <c r="H378" s="15" t="str">
        <f t="shared" si="7"/>
        <v>Aug-2024</v>
      </c>
      <c r="I378">
        <f t="shared" si="8"/>
        <v>35</v>
      </c>
      <c r="Y378">
        <v>120</v>
      </c>
    </row>
    <row r="379" spans="1:25">
      <c r="A379" s="2">
        <v>45533</v>
      </c>
      <c r="B379" s="3" t="s">
        <v>11</v>
      </c>
      <c r="C379" s="4">
        <v>120</v>
      </c>
      <c r="D379" s="3">
        <v>0</v>
      </c>
      <c r="E379" s="3" t="s">
        <v>13</v>
      </c>
      <c r="F379" s="3" t="s">
        <v>14</v>
      </c>
      <c r="G379" s="3" t="s">
        <v>15</v>
      </c>
      <c r="H379" s="15" t="str">
        <f t="shared" ref="H379:H442" si="9">TEXT(A379,"MMM-YYYY")</f>
        <v>Aug-2024</v>
      </c>
      <c r="I379">
        <f t="shared" si="8"/>
        <v>35</v>
      </c>
      <c r="Y379">
        <v>120</v>
      </c>
    </row>
    <row r="380" spans="1:25">
      <c r="A380" s="2">
        <v>45534</v>
      </c>
      <c r="B380" s="3" t="s">
        <v>11</v>
      </c>
      <c r="C380" s="4">
        <v>120</v>
      </c>
      <c r="D380" s="3">
        <v>0</v>
      </c>
      <c r="E380" s="3" t="s">
        <v>13</v>
      </c>
      <c r="F380" s="3" t="s">
        <v>14</v>
      </c>
      <c r="G380" s="3" t="s">
        <v>15</v>
      </c>
      <c r="H380" s="15" t="str">
        <f t="shared" si="9"/>
        <v>Aug-2024</v>
      </c>
      <c r="I380">
        <f t="shared" si="8"/>
        <v>35</v>
      </c>
      <c r="Y380">
        <v>120</v>
      </c>
    </row>
    <row r="381" spans="1:25">
      <c r="A381" s="2">
        <v>45535</v>
      </c>
      <c r="B381" s="3" t="s">
        <v>11</v>
      </c>
      <c r="C381" s="4">
        <v>120</v>
      </c>
      <c r="D381" s="3">
        <v>0</v>
      </c>
      <c r="E381" s="3" t="s">
        <v>13</v>
      </c>
      <c r="F381" s="3" t="s">
        <v>14</v>
      </c>
      <c r="G381" s="3" t="s">
        <v>15</v>
      </c>
      <c r="H381" s="15" t="str">
        <f t="shared" si="9"/>
        <v>Aug-2024</v>
      </c>
      <c r="I381">
        <f t="shared" si="8"/>
        <v>35</v>
      </c>
      <c r="Y381">
        <v>120</v>
      </c>
    </row>
    <row r="382" spans="1:25">
      <c r="A382" s="2">
        <v>45536</v>
      </c>
      <c r="B382" s="3" t="s">
        <v>11</v>
      </c>
      <c r="C382" s="4">
        <v>120</v>
      </c>
      <c r="D382" s="3">
        <v>0</v>
      </c>
      <c r="E382" s="3" t="s">
        <v>13</v>
      </c>
      <c r="F382" s="3" t="s">
        <v>14</v>
      </c>
      <c r="G382" s="3" t="s">
        <v>15</v>
      </c>
      <c r="H382" s="15" t="str">
        <f t="shared" si="9"/>
        <v>Sep-2024</v>
      </c>
      <c r="I382">
        <f t="shared" si="8"/>
        <v>35</v>
      </c>
      <c r="Y382">
        <v>120</v>
      </c>
    </row>
    <row r="383" spans="1:25">
      <c r="A383" s="2">
        <v>45536</v>
      </c>
      <c r="B383" s="3" t="s">
        <v>24</v>
      </c>
      <c r="C383" s="4">
        <v>2808</v>
      </c>
      <c r="D383" s="3">
        <v>0</v>
      </c>
      <c r="E383" s="3" t="s">
        <v>26</v>
      </c>
      <c r="F383" s="3" t="s">
        <v>19</v>
      </c>
      <c r="G383" s="3" t="s">
        <v>15</v>
      </c>
      <c r="H383" s="15" t="str">
        <f t="shared" si="9"/>
        <v>Sep-2024</v>
      </c>
      <c r="I383">
        <f t="shared" si="8"/>
        <v>35</v>
      </c>
      <c r="Y383">
        <v>2808</v>
      </c>
    </row>
    <row r="384" spans="1:25">
      <c r="A384" s="2">
        <v>45537</v>
      </c>
      <c r="B384" s="3" t="s">
        <v>69</v>
      </c>
      <c r="C384" s="4">
        <v>3165.6</v>
      </c>
      <c r="D384" s="3">
        <v>0</v>
      </c>
      <c r="E384" s="3" t="s">
        <v>39</v>
      </c>
      <c r="F384" s="3" t="s">
        <v>36</v>
      </c>
      <c r="G384" s="3" t="s">
        <v>15</v>
      </c>
      <c r="H384" s="15" t="str">
        <f t="shared" si="9"/>
        <v>Sep-2024</v>
      </c>
      <c r="I384">
        <f t="shared" si="8"/>
        <v>36</v>
      </c>
      <c r="Y384">
        <v>3165.6</v>
      </c>
    </row>
    <row r="385" spans="1:25">
      <c r="A385" s="2">
        <v>45537</v>
      </c>
      <c r="B385" s="3" t="s">
        <v>71</v>
      </c>
      <c r="C385" s="4">
        <v>4377.6000000000004</v>
      </c>
      <c r="D385" s="3">
        <v>0</v>
      </c>
      <c r="E385" s="3" t="s">
        <v>35</v>
      </c>
      <c r="F385" s="3" t="s">
        <v>36</v>
      </c>
      <c r="G385" s="3" t="s">
        <v>15</v>
      </c>
      <c r="H385" s="15" t="str">
        <f t="shared" si="9"/>
        <v>Sep-2024</v>
      </c>
      <c r="I385">
        <f t="shared" si="8"/>
        <v>36</v>
      </c>
      <c r="Y385">
        <v>4377.6000000000004</v>
      </c>
    </row>
    <row r="386" spans="1:25">
      <c r="A386" s="2">
        <v>45538</v>
      </c>
      <c r="B386" s="3" t="s">
        <v>37</v>
      </c>
      <c r="C386" s="4">
        <v>3655.2</v>
      </c>
      <c r="D386" s="3">
        <v>0</v>
      </c>
      <c r="E386" s="3" t="s">
        <v>39</v>
      </c>
      <c r="F386" s="3" t="s">
        <v>36</v>
      </c>
      <c r="G386" s="3" t="s">
        <v>15</v>
      </c>
      <c r="H386" s="15" t="str">
        <f t="shared" si="9"/>
        <v>Sep-2024</v>
      </c>
      <c r="I386">
        <f t="shared" si="8"/>
        <v>36</v>
      </c>
      <c r="Y386">
        <v>3655.2</v>
      </c>
    </row>
    <row r="387" spans="1:25">
      <c r="A387" s="2">
        <v>45538</v>
      </c>
      <c r="B387" s="3" t="s">
        <v>43</v>
      </c>
      <c r="C387" s="4">
        <v>727.2</v>
      </c>
      <c r="D387" s="3">
        <v>0</v>
      </c>
      <c r="E387" s="3" t="s">
        <v>45</v>
      </c>
      <c r="F387" s="3" t="s">
        <v>23</v>
      </c>
      <c r="G387" s="3" t="s">
        <v>15</v>
      </c>
      <c r="H387" s="15" t="str">
        <f t="shared" si="9"/>
        <v>Sep-2024</v>
      </c>
      <c r="I387">
        <f t="shared" ref="I387:I450" si="10">WEEKNUM(A387,2)</f>
        <v>36</v>
      </c>
      <c r="Y387">
        <v>727.2</v>
      </c>
    </row>
    <row r="388" spans="1:25">
      <c r="A388" s="2">
        <v>45538</v>
      </c>
      <c r="B388" s="3" t="s">
        <v>121</v>
      </c>
      <c r="C388" s="4">
        <v>360</v>
      </c>
      <c r="D388" s="3">
        <v>0</v>
      </c>
      <c r="E388" s="3" t="s">
        <v>42</v>
      </c>
      <c r="F388" s="3" t="s">
        <v>14</v>
      </c>
      <c r="G388" s="3" t="s">
        <v>15</v>
      </c>
      <c r="H388" s="15" t="str">
        <f t="shared" si="9"/>
        <v>Sep-2024</v>
      </c>
      <c r="I388">
        <f t="shared" si="10"/>
        <v>36</v>
      </c>
      <c r="Y388">
        <v>360</v>
      </c>
    </row>
    <row r="389" spans="1:25">
      <c r="A389" s="2">
        <v>45539</v>
      </c>
      <c r="B389" s="3" t="s">
        <v>11</v>
      </c>
      <c r="C389" s="4">
        <v>120</v>
      </c>
      <c r="D389" s="3">
        <v>0</v>
      </c>
      <c r="E389" s="3" t="s">
        <v>13</v>
      </c>
      <c r="F389" s="3" t="s">
        <v>14</v>
      </c>
      <c r="G389" s="3" t="s">
        <v>15</v>
      </c>
      <c r="H389" s="15" t="str">
        <f t="shared" si="9"/>
        <v>Sep-2024</v>
      </c>
      <c r="I389">
        <f t="shared" si="10"/>
        <v>36</v>
      </c>
      <c r="Y389">
        <v>120</v>
      </c>
    </row>
    <row r="390" spans="1:25">
      <c r="A390" s="2">
        <v>45541</v>
      </c>
      <c r="B390" s="3" t="s">
        <v>11</v>
      </c>
      <c r="C390" s="4">
        <v>120</v>
      </c>
      <c r="D390" s="3">
        <v>0</v>
      </c>
      <c r="E390" s="3" t="s">
        <v>13</v>
      </c>
      <c r="F390" s="3" t="s">
        <v>14</v>
      </c>
      <c r="G390" s="3" t="s">
        <v>15</v>
      </c>
      <c r="H390" s="15" t="str">
        <f t="shared" si="9"/>
        <v>Sep-2024</v>
      </c>
      <c r="I390">
        <f t="shared" si="10"/>
        <v>36</v>
      </c>
      <c r="Y390">
        <v>120</v>
      </c>
    </row>
    <row r="391" spans="1:25">
      <c r="A391" s="2">
        <v>45541</v>
      </c>
      <c r="B391" s="3" t="s">
        <v>7</v>
      </c>
      <c r="C391" s="4">
        <v>0</v>
      </c>
      <c r="D391" s="3">
        <v>120000</v>
      </c>
      <c r="E391" s="3" t="s">
        <v>75</v>
      </c>
      <c r="F391" s="3" t="s">
        <v>9</v>
      </c>
      <c r="G391" s="3" t="s">
        <v>10</v>
      </c>
      <c r="H391" s="15" t="str">
        <f t="shared" si="9"/>
        <v>Sep-2024</v>
      </c>
      <c r="I391">
        <f t="shared" si="10"/>
        <v>36</v>
      </c>
      <c r="Y391">
        <v>0</v>
      </c>
    </row>
    <row r="392" spans="1:25">
      <c r="A392" s="2">
        <v>45542</v>
      </c>
      <c r="B392" s="3" t="s">
        <v>11</v>
      </c>
      <c r="C392" s="4">
        <v>120</v>
      </c>
      <c r="D392" s="3">
        <v>0</v>
      </c>
      <c r="E392" s="3" t="s">
        <v>13</v>
      </c>
      <c r="F392" s="3" t="s">
        <v>14</v>
      </c>
      <c r="G392" s="3" t="s">
        <v>15</v>
      </c>
      <c r="H392" s="15" t="str">
        <f t="shared" si="9"/>
        <v>Sep-2024</v>
      </c>
      <c r="I392">
        <f t="shared" si="10"/>
        <v>36</v>
      </c>
      <c r="Y392">
        <v>120</v>
      </c>
    </row>
    <row r="393" spans="1:25">
      <c r="A393" s="2">
        <v>45544</v>
      </c>
      <c r="B393" s="3" t="s">
        <v>16</v>
      </c>
      <c r="C393" s="4">
        <v>21600</v>
      </c>
      <c r="D393" s="3">
        <v>0</v>
      </c>
      <c r="E393" s="3" t="s">
        <v>18</v>
      </c>
      <c r="F393" s="3" t="s">
        <v>19</v>
      </c>
      <c r="G393" s="3" t="s">
        <v>15</v>
      </c>
      <c r="H393" s="15" t="str">
        <f t="shared" si="9"/>
        <v>Sep-2024</v>
      </c>
      <c r="I393">
        <f t="shared" si="10"/>
        <v>37</v>
      </c>
      <c r="Y393">
        <v>21600</v>
      </c>
    </row>
    <row r="394" spans="1:25">
      <c r="A394" s="2">
        <v>45544</v>
      </c>
      <c r="B394" s="3" t="s">
        <v>20</v>
      </c>
      <c r="C394" s="4">
        <v>3600</v>
      </c>
      <c r="D394" s="3">
        <v>0</v>
      </c>
      <c r="E394" s="3" t="s">
        <v>22</v>
      </c>
      <c r="F394" s="3" t="s">
        <v>23</v>
      </c>
      <c r="G394" s="3" t="s">
        <v>15</v>
      </c>
      <c r="H394" s="15" t="str">
        <f t="shared" si="9"/>
        <v>Sep-2024</v>
      </c>
      <c r="I394">
        <f t="shared" si="10"/>
        <v>37</v>
      </c>
      <c r="Y394">
        <v>3600</v>
      </c>
    </row>
    <row r="395" spans="1:25">
      <c r="A395" s="2">
        <v>45544</v>
      </c>
      <c r="B395" s="3" t="s">
        <v>11</v>
      </c>
      <c r="C395" s="4">
        <v>120</v>
      </c>
      <c r="D395" s="3">
        <v>0</v>
      </c>
      <c r="E395" s="3" t="s">
        <v>13</v>
      </c>
      <c r="F395" s="3" t="s">
        <v>14</v>
      </c>
      <c r="G395" s="3" t="s">
        <v>15</v>
      </c>
      <c r="H395" s="15" t="str">
        <f t="shared" si="9"/>
        <v>Sep-2024</v>
      </c>
      <c r="I395">
        <f t="shared" si="10"/>
        <v>37</v>
      </c>
      <c r="Y395">
        <v>120</v>
      </c>
    </row>
    <row r="396" spans="1:25">
      <c r="A396" s="2">
        <v>45544</v>
      </c>
      <c r="B396" s="3" t="s">
        <v>11</v>
      </c>
      <c r="C396" s="4">
        <v>120</v>
      </c>
      <c r="D396" s="3">
        <v>0</v>
      </c>
      <c r="E396" s="3" t="s">
        <v>13</v>
      </c>
      <c r="F396" s="3" t="s">
        <v>14</v>
      </c>
      <c r="G396" s="3" t="s">
        <v>15</v>
      </c>
      <c r="H396" s="15" t="str">
        <f t="shared" si="9"/>
        <v>Sep-2024</v>
      </c>
      <c r="I396">
        <f t="shared" si="10"/>
        <v>37</v>
      </c>
      <c r="Y396">
        <v>120</v>
      </c>
    </row>
    <row r="397" spans="1:25">
      <c r="A397" s="2">
        <v>45545</v>
      </c>
      <c r="B397" s="3" t="s">
        <v>11</v>
      </c>
      <c r="C397" s="4">
        <v>120</v>
      </c>
      <c r="D397" s="3">
        <v>0</v>
      </c>
      <c r="E397" s="3" t="s">
        <v>13</v>
      </c>
      <c r="F397" s="3" t="s">
        <v>14</v>
      </c>
      <c r="G397" s="3" t="s">
        <v>15</v>
      </c>
      <c r="H397" s="15" t="str">
        <f t="shared" si="9"/>
        <v>Sep-2024</v>
      </c>
      <c r="I397">
        <f t="shared" si="10"/>
        <v>37</v>
      </c>
      <c r="Y397">
        <v>120</v>
      </c>
    </row>
    <row r="398" spans="1:25">
      <c r="A398" s="2">
        <v>45546</v>
      </c>
      <c r="B398" s="3" t="s">
        <v>11</v>
      </c>
      <c r="C398" s="4">
        <v>120</v>
      </c>
      <c r="D398" s="3">
        <v>0</v>
      </c>
      <c r="E398" s="3" t="s">
        <v>13</v>
      </c>
      <c r="F398" s="3" t="s">
        <v>14</v>
      </c>
      <c r="G398" s="3" t="s">
        <v>15</v>
      </c>
      <c r="H398" s="15" t="str">
        <f t="shared" si="9"/>
        <v>Sep-2024</v>
      </c>
      <c r="I398">
        <f t="shared" si="10"/>
        <v>37</v>
      </c>
      <c r="Y398">
        <v>120</v>
      </c>
    </row>
    <row r="399" spans="1:25">
      <c r="A399" s="2">
        <v>45546</v>
      </c>
      <c r="B399" s="3" t="s">
        <v>24</v>
      </c>
      <c r="C399" s="4">
        <v>3921.6</v>
      </c>
      <c r="D399" s="3">
        <v>0</v>
      </c>
      <c r="E399" s="3" t="s">
        <v>26</v>
      </c>
      <c r="F399" s="3" t="s">
        <v>19</v>
      </c>
      <c r="G399" s="3" t="s">
        <v>15</v>
      </c>
      <c r="H399" s="15" t="str">
        <f t="shared" si="9"/>
        <v>Sep-2024</v>
      </c>
      <c r="I399">
        <f t="shared" si="10"/>
        <v>37</v>
      </c>
      <c r="Y399">
        <v>3921.6</v>
      </c>
    </row>
    <row r="400" spans="1:25">
      <c r="A400" s="2">
        <v>45549</v>
      </c>
      <c r="B400" s="3" t="s">
        <v>27</v>
      </c>
      <c r="C400" s="4">
        <v>1394.4</v>
      </c>
      <c r="D400" s="3">
        <v>0</v>
      </c>
      <c r="E400" s="3" t="s">
        <v>29</v>
      </c>
      <c r="F400" s="3" t="s">
        <v>19</v>
      </c>
      <c r="G400" s="3" t="s">
        <v>15</v>
      </c>
      <c r="H400" s="15" t="str">
        <f t="shared" si="9"/>
        <v>Sep-2024</v>
      </c>
      <c r="I400">
        <f t="shared" si="10"/>
        <v>37</v>
      </c>
      <c r="Y400">
        <v>1394.4</v>
      </c>
    </row>
    <row r="401" spans="1:25">
      <c r="A401" s="2">
        <v>45549</v>
      </c>
      <c r="B401" s="3" t="s">
        <v>11</v>
      </c>
      <c r="C401" s="4">
        <v>120</v>
      </c>
      <c r="D401" s="3">
        <v>0</v>
      </c>
      <c r="E401" s="3" t="s">
        <v>13</v>
      </c>
      <c r="F401" s="3" t="s">
        <v>14</v>
      </c>
      <c r="G401" s="3" t="s">
        <v>15</v>
      </c>
      <c r="H401" s="15" t="str">
        <f t="shared" si="9"/>
        <v>Sep-2024</v>
      </c>
      <c r="I401">
        <f t="shared" si="10"/>
        <v>37</v>
      </c>
      <c r="Y401">
        <v>120</v>
      </c>
    </row>
    <row r="402" spans="1:25">
      <c r="A402" s="2">
        <v>45550</v>
      </c>
      <c r="B402" s="3" t="s">
        <v>11</v>
      </c>
      <c r="C402" s="4">
        <v>120</v>
      </c>
      <c r="D402" s="3">
        <v>0</v>
      </c>
      <c r="E402" s="3" t="s">
        <v>13</v>
      </c>
      <c r="F402" s="3" t="s">
        <v>14</v>
      </c>
      <c r="G402" s="3" t="s">
        <v>15</v>
      </c>
      <c r="H402" s="15" t="str">
        <f t="shared" si="9"/>
        <v>Sep-2024</v>
      </c>
      <c r="I402">
        <f t="shared" si="10"/>
        <v>37</v>
      </c>
      <c r="Y402">
        <v>120</v>
      </c>
    </row>
    <row r="403" spans="1:25">
      <c r="A403" s="2">
        <v>45551</v>
      </c>
      <c r="B403" s="3" t="s">
        <v>30</v>
      </c>
      <c r="C403" s="4">
        <v>2047.2</v>
      </c>
      <c r="D403" s="3">
        <v>0</v>
      </c>
      <c r="E403" s="3" t="s">
        <v>67</v>
      </c>
      <c r="F403" s="3" t="s">
        <v>23</v>
      </c>
      <c r="G403" s="3" t="s">
        <v>15</v>
      </c>
      <c r="H403" s="15" t="str">
        <f t="shared" si="9"/>
        <v>Sep-2024</v>
      </c>
      <c r="I403">
        <f t="shared" si="10"/>
        <v>38</v>
      </c>
      <c r="Y403">
        <v>2047.2</v>
      </c>
    </row>
    <row r="404" spans="1:25">
      <c r="A404" s="2">
        <v>45551</v>
      </c>
      <c r="B404" s="3" t="s">
        <v>11</v>
      </c>
      <c r="C404" s="4">
        <v>120</v>
      </c>
      <c r="D404" s="3">
        <v>0</v>
      </c>
      <c r="E404" s="3" t="s">
        <v>13</v>
      </c>
      <c r="F404" s="3" t="s">
        <v>14</v>
      </c>
      <c r="G404" s="3" t="s">
        <v>15</v>
      </c>
      <c r="H404" s="15" t="str">
        <f t="shared" si="9"/>
        <v>Sep-2024</v>
      </c>
      <c r="I404">
        <f t="shared" si="10"/>
        <v>38</v>
      </c>
      <c r="Y404">
        <v>120</v>
      </c>
    </row>
    <row r="405" spans="1:25">
      <c r="A405" s="2">
        <v>45552</v>
      </c>
      <c r="B405" s="3" t="s">
        <v>11</v>
      </c>
      <c r="C405" s="4">
        <v>120</v>
      </c>
      <c r="D405" s="3">
        <v>0</v>
      </c>
      <c r="E405" s="3" t="s">
        <v>13</v>
      </c>
      <c r="F405" s="3" t="s">
        <v>14</v>
      </c>
      <c r="G405" s="3" t="s">
        <v>15</v>
      </c>
      <c r="H405" s="15" t="str">
        <f t="shared" si="9"/>
        <v>Sep-2024</v>
      </c>
      <c r="I405">
        <f t="shared" si="10"/>
        <v>38</v>
      </c>
      <c r="Y405">
        <v>120</v>
      </c>
    </row>
    <row r="406" spans="1:25">
      <c r="A406" s="2">
        <v>45553</v>
      </c>
      <c r="B406" s="3" t="s">
        <v>24</v>
      </c>
      <c r="C406" s="4">
        <v>3432</v>
      </c>
      <c r="D406" s="3">
        <v>0</v>
      </c>
      <c r="E406" s="3" t="s">
        <v>26</v>
      </c>
      <c r="F406" s="3" t="s">
        <v>19</v>
      </c>
      <c r="G406" s="3" t="s">
        <v>15</v>
      </c>
      <c r="H406" s="15" t="str">
        <f t="shared" si="9"/>
        <v>Sep-2024</v>
      </c>
      <c r="I406">
        <f t="shared" si="10"/>
        <v>38</v>
      </c>
      <c r="Y406">
        <v>3432</v>
      </c>
    </row>
    <row r="407" spans="1:25">
      <c r="A407" s="2">
        <v>45553</v>
      </c>
      <c r="B407" s="3" t="s">
        <v>11</v>
      </c>
      <c r="C407" s="4">
        <v>120</v>
      </c>
      <c r="D407" s="3">
        <v>0</v>
      </c>
      <c r="E407" s="3" t="s">
        <v>13</v>
      </c>
      <c r="F407" s="3" t="s">
        <v>14</v>
      </c>
      <c r="G407" s="3" t="s">
        <v>15</v>
      </c>
      <c r="H407" s="15" t="str">
        <f t="shared" si="9"/>
        <v>Sep-2024</v>
      </c>
      <c r="I407">
        <f t="shared" si="10"/>
        <v>38</v>
      </c>
      <c r="Y407">
        <v>120</v>
      </c>
    </row>
    <row r="408" spans="1:25">
      <c r="A408" s="2">
        <v>45554</v>
      </c>
      <c r="B408" s="3" t="s">
        <v>11</v>
      </c>
      <c r="C408" s="4">
        <v>120</v>
      </c>
      <c r="D408" s="3">
        <v>0</v>
      </c>
      <c r="E408" s="3" t="s">
        <v>13</v>
      </c>
      <c r="F408" s="3" t="s">
        <v>14</v>
      </c>
      <c r="G408" s="3" t="s">
        <v>15</v>
      </c>
      <c r="H408" s="15" t="str">
        <f t="shared" si="9"/>
        <v>Sep-2024</v>
      </c>
      <c r="I408">
        <f t="shared" si="10"/>
        <v>38</v>
      </c>
      <c r="Y408">
        <v>120</v>
      </c>
    </row>
    <row r="409" spans="1:25">
      <c r="A409" s="2">
        <v>45554</v>
      </c>
      <c r="B409" s="3" t="s">
        <v>33</v>
      </c>
      <c r="C409" s="4">
        <v>1147.2</v>
      </c>
      <c r="D409" s="3">
        <v>0</v>
      </c>
      <c r="E409" s="3" t="s">
        <v>35</v>
      </c>
      <c r="F409" s="3" t="s">
        <v>36</v>
      </c>
      <c r="G409" s="3" t="s">
        <v>15</v>
      </c>
      <c r="H409" s="15" t="str">
        <f t="shared" si="9"/>
        <v>Sep-2024</v>
      </c>
      <c r="I409">
        <f t="shared" si="10"/>
        <v>38</v>
      </c>
      <c r="Y409">
        <v>1147.2</v>
      </c>
    </row>
    <row r="410" spans="1:25">
      <c r="A410" s="2">
        <v>45554</v>
      </c>
      <c r="B410" s="3" t="s">
        <v>81</v>
      </c>
      <c r="C410" s="4">
        <v>2539.1999999999998</v>
      </c>
      <c r="D410" s="3">
        <v>0</v>
      </c>
      <c r="E410" s="3" t="s">
        <v>39</v>
      </c>
      <c r="F410" s="3" t="s">
        <v>36</v>
      </c>
      <c r="G410" s="3" t="s">
        <v>15</v>
      </c>
      <c r="H410" s="15" t="str">
        <f t="shared" si="9"/>
        <v>Sep-2024</v>
      </c>
      <c r="I410">
        <f t="shared" si="10"/>
        <v>38</v>
      </c>
      <c r="Y410">
        <v>2539.1999999999998</v>
      </c>
    </row>
    <row r="411" spans="1:25">
      <c r="A411" s="2">
        <v>45554</v>
      </c>
      <c r="B411" s="3" t="s">
        <v>40</v>
      </c>
      <c r="C411" s="4">
        <v>1442.4</v>
      </c>
      <c r="D411" s="3">
        <v>0</v>
      </c>
      <c r="E411" s="3" t="s">
        <v>42</v>
      </c>
      <c r="F411" s="3" t="s">
        <v>14</v>
      </c>
      <c r="G411" s="3" t="s">
        <v>15</v>
      </c>
      <c r="H411" s="15" t="str">
        <f t="shared" si="9"/>
        <v>Sep-2024</v>
      </c>
      <c r="I411">
        <f t="shared" si="10"/>
        <v>38</v>
      </c>
      <c r="Y411">
        <v>1442.4</v>
      </c>
    </row>
    <row r="412" spans="1:25">
      <c r="A412" s="2">
        <v>45555</v>
      </c>
      <c r="B412" s="3" t="s">
        <v>43</v>
      </c>
      <c r="C412" s="4">
        <v>868.8</v>
      </c>
      <c r="D412" s="3">
        <v>0</v>
      </c>
      <c r="E412" s="3" t="s">
        <v>45</v>
      </c>
      <c r="F412" s="3" t="s">
        <v>23</v>
      </c>
      <c r="G412" s="3" t="s">
        <v>15</v>
      </c>
      <c r="H412" s="15" t="str">
        <f t="shared" si="9"/>
        <v>Sep-2024</v>
      </c>
      <c r="I412">
        <f t="shared" si="10"/>
        <v>38</v>
      </c>
      <c r="Y412">
        <v>868.8</v>
      </c>
    </row>
    <row r="413" spans="1:25">
      <c r="A413" s="2">
        <v>45556</v>
      </c>
      <c r="B413" s="3" t="s">
        <v>46</v>
      </c>
      <c r="C413" s="4">
        <v>0</v>
      </c>
      <c r="D413" s="3">
        <v>2400</v>
      </c>
      <c r="E413" s="3" t="s">
        <v>48</v>
      </c>
      <c r="F413" s="3" t="s">
        <v>49</v>
      </c>
      <c r="G413" s="3" t="s">
        <v>10</v>
      </c>
      <c r="H413" s="15" t="str">
        <f t="shared" si="9"/>
        <v>Sep-2024</v>
      </c>
      <c r="I413">
        <f t="shared" si="10"/>
        <v>38</v>
      </c>
      <c r="Y413">
        <v>0</v>
      </c>
    </row>
    <row r="414" spans="1:25">
      <c r="A414" s="2">
        <v>45556</v>
      </c>
      <c r="B414" s="3" t="s">
        <v>11</v>
      </c>
      <c r="C414" s="4">
        <v>120</v>
      </c>
      <c r="D414" s="3">
        <v>0</v>
      </c>
      <c r="E414" s="3" t="s">
        <v>13</v>
      </c>
      <c r="F414" s="3" t="s">
        <v>14</v>
      </c>
      <c r="G414" s="3" t="s">
        <v>15</v>
      </c>
      <c r="H414" s="15" t="str">
        <f t="shared" si="9"/>
        <v>Sep-2024</v>
      </c>
      <c r="I414">
        <f t="shared" si="10"/>
        <v>38</v>
      </c>
      <c r="Y414">
        <v>120</v>
      </c>
    </row>
    <row r="415" spans="1:25">
      <c r="A415" s="2">
        <v>45557</v>
      </c>
      <c r="B415" s="3" t="s">
        <v>11</v>
      </c>
      <c r="C415" s="4">
        <v>120</v>
      </c>
      <c r="D415" s="3">
        <v>0</v>
      </c>
      <c r="E415" s="3" t="s">
        <v>13</v>
      </c>
      <c r="F415" s="3" t="s">
        <v>14</v>
      </c>
      <c r="G415" s="3" t="s">
        <v>15</v>
      </c>
      <c r="H415" s="15" t="str">
        <f t="shared" si="9"/>
        <v>Sep-2024</v>
      </c>
      <c r="I415">
        <f t="shared" si="10"/>
        <v>38</v>
      </c>
      <c r="Y415">
        <v>120</v>
      </c>
    </row>
    <row r="416" spans="1:25">
      <c r="A416" s="2">
        <v>45557</v>
      </c>
      <c r="B416" s="3" t="s">
        <v>51</v>
      </c>
      <c r="C416" s="4">
        <v>960</v>
      </c>
      <c r="D416" s="3">
        <v>0</v>
      </c>
      <c r="E416" s="3" t="s">
        <v>51</v>
      </c>
      <c r="F416" s="3" t="s">
        <v>19</v>
      </c>
      <c r="G416" s="3" t="s">
        <v>15</v>
      </c>
      <c r="H416" s="15" t="str">
        <f t="shared" si="9"/>
        <v>Sep-2024</v>
      </c>
      <c r="I416">
        <f t="shared" si="10"/>
        <v>38</v>
      </c>
      <c r="Y416">
        <v>960</v>
      </c>
    </row>
    <row r="417" spans="1:25">
      <c r="A417" s="2">
        <v>45558</v>
      </c>
      <c r="B417" s="3" t="s">
        <v>52</v>
      </c>
      <c r="C417" s="4">
        <v>1272</v>
      </c>
      <c r="D417" s="3">
        <v>0</v>
      </c>
      <c r="E417" s="3" t="s">
        <v>54</v>
      </c>
      <c r="F417" s="3" t="s">
        <v>36</v>
      </c>
      <c r="G417" s="3" t="s">
        <v>15</v>
      </c>
      <c r="H417" s="15" t="str">
        <f t="shared" si="9"/>
        <v>Sep-2024</v>
      </c>
      <c r="I417">
        <f t="shared" si="10"/>
        <v>39</v>
      </c>
      <c r="Y417">
        <v>1272</v>
      </c>
    </row>
    <row r="418" spans="1:25">
      <c r="A418" s="2">
        <v>45558</v>
      </c>
      <c r="B418" s="3" t="s">
        <v>55</v>
      </c>
      <c r="C418" s="4">
        <v>840</v>
      </c>
      <c r="D418" s="3">
        <v>0</v>
      </c>
      <c r="E418" s="3" t="s">
        <v>35</v>
      </c>
      <c r="F418" s="3" t="s">
        <v>36</v>
      </c>
      <c r="G418" s="3" t="s">
        <v>15</v>
      </c>
      <c r="H418" s="15" t="str">
        <f t="shared" si="9"/>
        <v>Sep-2024</v>
      </c>
      <c r="I418">
        <f t="shared" si="10"/>
        <v>39</v>
      </c>
      <c r="Y418">
        <v>840</v>
      </c>
    </row>
    <row r="419" spans="1:25">
      <c r="A419" s="2">
        <v>45558</v>
      </c>
      <c r="B419" s="3" t="s">
        <v>11</v>
      </c>
      <c r="C419" s="4">
        <v>120</v>
      </c>
      <c r="D419" s="3">
        <v>0</v>
      </c>
      <c r="E419" s="3" t="s">
        <v>13</v>
      </c>
      <c r="F419" s="3" t="s">
        <v>14</v>
      </c>
      <c r="G419" s="3" t="s">
        <v>15</v>
      </c>
      <c r="H419" s="15" t="str">
        <f t="shared" si="9"/>
        <v>Sep-2024</v>
      </c>
      <c r="I419">
        <f t="shared" si="10"/>
        <v>39</v>
      </c>
      <c r="Y419">
        <v>120</v>
      </c>
    </row>
    <row r="420" spans="1:25">
      <c r="A420" s="2">
        <v>45559</v>
      </c>
      <c r="B420" s="3" t="s">
        <v>11</v>
      </c>
      <c r="C420" s="4">
        <v>120</v>
      </c>
      <c r="D420" s="3">
        <v>0</v>
      </c>
      <c r="E420" s="3" t="s">
        <v>13</v>
      </c>
      <c r="F420" s="3" t="s">
        <v>14</v>
      </c>
      <c r="G420" s="3" t="s">
        <v>15</v>
      </c>
      <c r="H420" s="15" t="str">
        <f t="shared" si="9"/>
        <v>Sep-2024</v>
      </c>
      <c r="I420">
        <f t="shared" si="10"/>
        <v>39</v>
      </c>
      <c r="Y420">
        <v>120</v>
      </c>
    </row>
    <row r="421" spans="1:25">
      <c r="A421" s="2">
        <v>45560</v>
      </c>
      <c r="B421" s="3" t="s">
        <v>11</v>
      </c>
      <c r="C421" s="4">
        <v>120</v>
      </c>
      <c r="D421" s="3">
        <v>0</v>
      </c>
      <c r="E421" s="3" t="s">
        <v>13</v>
      </c>
      <c r="F421" s="3" t="s">
        <v>14</v>
      </c>
      <c r="G421" s="3" t="s">
        <v>15</v>
      </c>
      <c r="H421" s="15" t="str">
        <f t="shared" si="9"/>
        <v>Sep-2024</v>
      </c>
      <c r="I421">
        <f t="shared" si="10"/>
        <v>39</v>
      </c>
      <c r="Y421">
        <v>120</v>
      </c>
    </row>
    <row r="422" spans="1:25">
      <c r="A422" s="2">
        <v>45560</v>
      </c>
      <c r="B422" s="3" t="s">
        <v>24</v>
      </c>
      <c r="C422" s="4">
        <v>4269.6000000000004</v>
      </c>
      <c r="D422" s="3">
        <v>0</v>
      </c>
      <c r="E422" s="3" t="s">
        <v>26</v>
      </c>
      <c r="F422" s="3" t="s">
        <v>19</v>
      </c>
      <c r="G422" s="3" t="s">
        <v>15</v>
      </c>
      <c r="H422" s="15" t="str">
        <f t="shared" si="9"/>
        <v>Sep-2024</v>
      </c>
      <c r="I422">
        <f t="shared" si="10"/>
        <v>39</v>
      </c>
      <c r="Y422">
        <v>4269.6000000000004</v>
      </c>
    </row>
    <row r="423" spans="1:25">
      <c r="A423" s="2">
        <v>45561</v>
      </c>
      <c r="B423" s="3" t="s">
        <v>58</v>
      </c>
      <c r="C423" s="4">
        <v>1087.2</v>
      </c>
      <c r="D423" s="3">
        <v>0</v>
      </c>
      <c r="E423" s="3" t="s">
        <v>42</v>
      </c>
      <c r="F423" s="3" t="s">
        <v>14</v>
      </c>
      <c r="G423" s="3" t="s">
        <v>15</v>
      </c>
      <c r="H423" s="15" t="str">
        <f t="shared" si="9"/>
        <v>Sep-2024</v>
      </c>
      <c r="I423">
        <f t="shared" si="10"/>
        <v>39</v>
      </c>
      <c r="Y423">
        <v>1087.2</v>
      </c>
    </row>
    <row r="424" spans="1:25">
      <c r="A424" s="2">
        <v>45562</v>
      </c>
      <c r="B424" s="3" t="s">
        <v>60</v>
      </c>
      <c r="C424" s="4">
        <v>482.4</v>
      </c>
      <c r="D424" s="3">
        <v>0</v>
      </c>
      <c r="E424" s="3" t="s">
        <v>42</v>
      </c>
      <c r="F424" s="3" t="s">
        <v>14</v>
      </c>
      <c r="G424" s="3" t="s">
        <v>15</v>
      </c>
      <c r="H424" s="15" t="str">
        <f t="shared" si="9"/>
        <v>Sep-2024</v>
      </c>
      <c r="I424">
        <f t="shared" si="10"/>
        <v>39</v>
      </c>
      <c r="Y424">
        <v>482.4</v>
      </c>
    </row>
    <row r="425" spans="1:25">
      <c r="A425" s="2">
        <v>45563</v>
      </c>
      <c r="B425" s="3" t="s">
        <v>62</v>
      </c>
      <c r="C425" s="4">
        <v>1320</v>
      </c>
      <c r="D425" s="3">
        <v>0</v>
      </c>
      <c r="E425" s="3" t="s">
        <v>64</v>
      </c>
      <c r="F425" s="3" t="s">
        <v>65</v>
      </c>
      <c r="G425" s="3" t="s">
        <v>15</v>
      </c>
      <c r="H425" s="15" t="str">
        <f t="shared" si="9"/>
        <v>Sep-2024</v>
      </c>
      <c r="I425">
        <f t="shared" si="10"/>
        <v>39</v>
      </c>
      <c r="Y425">
        <v>1320</v>
      </c>
    </row>
    <row r="426" spans="1:25">
      <c r="A426" s="2">
        <v>45563</v>
      </c>
      <c r="B426" s="3" t="s">
        <v>30</v>
      </c>
      <c r="C426" s="4">
        <v>1694.4</v>
      </c>
      <c r="D426" s="3">
        <v>0</v>
      </c>
      <c r="E426" s="3" t="s">
        <v>67</v>
      </c>
      <c r="F426" s="3" t="s">
        <v>23</v>
      </c>
      <c r="G426" s="3" t="s">
        <v>15</v>
      </c>
      <c r="H426" s="15" t="str">
        <f t="shared" si="9"/>
        <v>Sep-2024</v>
      </c>
      <c r="I426">
        <f t="shared" si="10"/>
        <v>39</v>
      </c>
      <c r="Y426">
        <v>1694.4</v>
      </c>
    </row>
    <row r="427" spans="1:25">
      <c r="A427" s="2">
        <v>45563</v>
      </c>
      <c r="B427" s="3" t="s">
        <v>11</v>
      </c>
      <c r="C427" s="4">
        <v>120</v>
      </c>
      <c r="D427" s="3">
        <v>0</v>
      </c>
      <c r="E427" s="3" t="s">
        <v>13</v>
      </c>
      <c r="F427" s="3" t="s">
        <v>14</v>
      </c>
      <c r="G427" s="3" t="s">
        <v>15</v>
      </c>
      <c r="H427" s="15" t="str">
        <f t="shared" si="9"/>
        <v>Sep-2024</v>
      </c>
      <c r="I427">
        <f t="shared" si="10"/>
        <v>39</v>
      </c>
      <c r="Y427">
        <v>120</v>
      </c>
    </row>
    <row r="428" spans="1:25">
      <c r="A428" s="2">
        <v>45564</v>
      </c>
      <c r="B428" s="3" t="s">
        <v>11</v>
      </c>
      <c r="C428" s="4">
        <v>120</v>
      </c>
      <c r="D428" s="3">
        <v>0</v>
      </c>
      <c r="E428" s="3" t="s">
        <v>13</v>
      </c>
      <c r="F428" s="3" t="s">
        <v>14</v>
      </c>
      <c r="G428" s="3" t="s">
        <v>15</v>
      </c>
      <c r="H428" s="15" t="str">
        <f t="shared" si="9"/>
        <v>Sep-2024</v>
      </c>
      <c r="I428">
        <f t="shared" si="10"/>
        <v>39</v>
      </c>
      <c r="Y428">
        <v>120</v>
      </c>
    </row>
    <row r="429" spans="1:25">
      <c r="A429" s="2">
        <v>45565</v>
      </c>
      <c r="B429" s="3" t="s">
        <v>11</v>
      </c>
      <c r="C429" s="4">
        <v>120</v>
      </c>
      <c r="D429" s="3">
        <v>0</v>
      </c>
      <c r="E429" s="3" t="s">
        <v>13</v>
      </c>
      <c r="F429" s="3" t="s">
        <v>14</v>
      </c>
      <c r="G429" s="3" t="s">
        <v>15</v>
      </c>
      <c r="H429" s="15" t="str">
        <f t="shared" si="9"/>
        <v>Sep-2024</v>
      </c>
      <c r="I429">
        <f t="shared" si="10"/>
        <v>40</v>
      </c>
      <c r="Y429">
        <v>120</v>
      </c>
    </row>
    <row r="430" spans="1:25">
      <c r="A430" s="2">
        <v>45566</v>
      </c>
      <c r="B430" s="3" t="s">
        <v>11</v>
      </c>
      <c r="C430" s="4">
        <v>120</v>
      </c>
      <c r="D430" s="3">
        <v>0</v>
      </c>
      <c r="E430" s="3" t="s">
        <v>13</v>
      </c>
      <c r="F430" s="3" t="s">
        <v>14</v>
      </c>
      <c r="G430" s="3" t="s">
        <v>15</v>
      </c>
      <c r="H430" s="15" t="str">
        <f t="shared" si="9"/>
        <v>Oct-2024</v>
      </c>
      <c r="I430">
        <f t="shared" si="10"/>
        <v>40</v>
      </c>
      <c r="Y430">
        <v>120</v>
      </c>
    </row>
    <row r="431" spans="1:25">
      <c r="A431" s="2">
        <v>45567</v>
      </c>
      <c r="B431" s="3" t="s">
        <v>11</v>
      </c>
      <c r="C431" s="4">
        <v>120</v>
      </c>
      <c r="D431" s="3">
        <v>0</v>
      </c>
      <c r="E431" s="3" t="s">
        <v>13</v>
      </c>
      <c r="F431" s="3" t="s">
        <v>14</v>
      </c>
      <c r="G431" s="3" t="s">
        <v>15</v>
      </c>
      <c r="H431" s="15" t="str">
        <f t="shared" si="9"/>
        <v>Oct-2024</v>
      </c>
      <c r="I431">
        <f t="shared" si="10"/>
        <v>40</v>
      </c>
      <c r="Y431">
        <v>120</v>
      </c>
    </row>
    <row r="432" spans="1:25">
      <c r="A432" s="2">
        <v>45567</v>
      </c>
      <c r="B432" s="3" t="s">
        <v>24</v>
      </c>
      <c r="C432" s="4">
        <v>5352</v>
      </c>
      <c r="D432" s="3">
        <v>0</v>
      </c>
      <c r="E432" s="3" t="s">
        <v>26</v>
      </c>
      <c r="F432" s="3" t="s">
        <v>19</v>
      </c>
      <c r="G432" s="3" t="s">
        <v>15</v>
      </c>
      <c r="H432" s="15" t="str">
        <f t="shared" si="9"/>
        <v>Oct-2024</v>
      </c>
      <c r="I432">
        <f t="shared" si="10"/>
        <v>40</v>
      </c>
      <c r="Y432">
        <v>5352</v>
      </c>
    </row>
    <row r="433" spans="1:25">
      <c r="A433" s="2">
        <v>45568</v>
      </c>
      <c r="B433" s="3" t="s">
        <v>69</v>
      </c>
      <c r="C433" s="4">
        <v>3189.6</v>
      </c>
      <c r="D433" s="3">
        <v>0</v>
      </c>
      <c r="E433" s="3" t="s">
        <v>39</v>
      </c>
      <c r="F433" s="3" t="s">
        <v>36</v>
      </c>
      <c r="G433" s="3" t="s">
        <v>15</v>
      </c>
      <c r="H433" s="15" t="str">
        <f t="shared" si="9"/>
        <v>Oct-2024</v>
      </c>
      <c r="I433">
        <f t="shared" si="10"/>
        <v>40</v>
      </c>
      <c r="Y433">
        <v>3189.6</v>
      </c>
    </row>
    <row r="434" spans="1:25">
      <c r="A434" s="2">
        <v>45568</v>
      </c>
      <c r="B434" s="3" t="s">
        <v>94</v>
      </c>
      <c r="C434" s="4">
        <v>4200</v>
      </c>
      <c r="D434" s="3">
        <v>0</v>
      </c>
      <c r="E434" s="3" t="s">
        <v>39</v>
      </c>
      <c r="F434" s="3" t="s">
        <v>36</v>
      </c>
      <c r="G434" s="3" t="s">
        <v>15</v>
      </c>
      <c r="H434" s="15" t="str">
        <f t="shared" si="9"/>
        <v>Oct-2024</v>
      </c>
      <c r="I434">
        <f t="shared" si="10"/>
        <v>40</v>
      </c>
      <c r="Y434">
        <v>4200</v>
      </c>
    </row>
    <row r="435" spans="1:25">
      <c r="A435" s="2">
        <v>45569</v>
      </c>
      <c r="B435" s="3" t="s">
        <v>37</v>
      </c>
      <c r="C435" s="4">
        <v>3681.6</v>
      </c>
      <c r="D435" s="3">
        <v>0</v>
      </c>
      <c r="E435" s="3" t="s">
        <v>39</v>
      </c>
      <c r="F435" s="3" t="s">
        <v>36</v>
      </c>
      <c r="G435" s="3" t="s">
        <v>15</v>
      </c>
      <c r="H435" s="15" t="str">
        <f t="shared" si="9"/>
        <v>Oct-2024</v>
      </c>
      <c r="I435">
        <f t="shared" si="10"/>
        <v>40</v>
      </c>
      <c r="Y435">
        <v>3681.6</v>
      </c>
    </row>
    <row r="436" spans="1:25">
      <c r="A436" s="2">
        <v>45569</v>
      </c>
      <c r="B436" s="3" t="s">
        <v>43</v>
      </c>
      <c r="C436" s="4">
        <v>748.8</v>
      </c>
      <c r="D436" s="3">
        <v>0</v>
      </c>
      <c r="E436" s="3" t="s">
        <v>45</v>
      </c>
      <c r="F436" s="3" t="s">
        <v>23</v>
      </c>
      <c r="G436" s="3" t="s">
        <v>15</v>
      </c>
      <c r="H436" s="15" t="str">
        <f t="shared" si="9"/>
        <v>Oct-2024</v>
      </c>
      <c r="I436">
        <f t="shared" si="10"/>
        <v>40</v>
      </c>
      <c r="Y436">
        <v>748.8</v>
      </c>
    </row>
    <row r="437" spans="1:25">
      <c r="A437" s="2">
        <v>45569</v>
      </c>
      <c r="B437" s="3" t="s">
        <v>121</v>
      </c>
      <c r="C437" s="4">
        <v>360</v>
      </c>
      <c r="D437" s="3">
        <v>0</v>
      </c>
      <c r="E437" s="3" t="s">
        <v>42</v>
      </c>
      <c r="F437" s="3" t="s">
        <v>14</v>
      </c>
      <c r="G437" s="3" t="s">
        <v>15</v>
      </c>
      <c r="H437" s="15" t="str">
        <f t="shared" si="9"/>
        <v>Oct-2024</v>
      </c>
      <c r="I437">
        <f t="shared" si="10"/>
        <v>40</v>
      </c>
      <c r="Y437">
        <v>360</v>
      </c>
    </row>
    <row r="438" spans="1:25">
      <c r="A438" s="2">
        <v>45570</v>
      </c>
      <c r="B438" s="3" t="s">
        <v>11</v>
      </c>
      <c r="C438" s="4">
        <v>120</v>
      </c>
      <c r="D438" s="3">
        <v>0</v>
      </c>
      <c r="E438" s="3" t="s">
        <v>13</v>
      </c>
      <c r="F438" s="3" t="s">
        <v>14</v>
      </c>
      <c r="G438" s="3" t="s">
        <v>15</v>
      </c>
      <c r="H438" s="15" t="str">
        <f t="shared" si="9"/>
        <v>Oct-2024</v>
      </c>
      <c r="I438">
        <f t="shared" si="10"/>
        <v>40</v>
      </c>
      <c r="Y438">
        <v>120</v>
      </c>
    </row>
    <row r="439" spans="1:25">
      <c r="A439" s="2">
        <v>45572</v>
      </c>
      <c r="B439" s="3" t="s">
        <v>11</v>
      </c>
      <c r="C439" s="4">
        <v>120</v>
      </c>
      <c r="D439" s="3">
        <v>0</v>
      </c>
      <c r="E439" s="3" t="s">
        <v>13</v>
      </c>
      <c r="F439" s="3" t="s">
        <v>14</v>
      </c>
      <c r="G439" s="3" t="s">
        <v>15</v>
      </c>
      <c r="H439" s="15" t="str">
        <f t="shared" si="9"/>
        <v>Oct-2024</v>
      </c>
      <c r="I439">
        <f t="shared" si="10"/>
        <v>41</v>
      </c>
      <c r="Y439">
        <v>120</v>
      </c>
    </row>
    <row r="440" spans="1:25">
      <c r="A440" s="2">
        <v>45572</v>
      </c>
      <c r="B440" s="3" t="s">
        <v>7</v>
      </c>
      <c r="C440" s="4">
        <v>0</v>
      </c>
      <c r="D440" s="3">
        <v>120000</v>
      </c>
      <c r="E440" s="3" t="s">
        <v>75</v>
      </c>
      <c r="F440" s="3" t="s">
        <v>9</v>
      </c>
      <c r="G440" s="3" t="s">
        <v>10</v>
      </c>
      <c r="H440" s="15" t="str">
        <f t="shared" si="9"/>
        <v>Oct-2024</v>
      </c>
      <c r="I440">
        <f t="shared" si="10"/>
        <v>41</v>
      </c>
      <c r="Y440">
        <v>0</v>
      </c>
    </row>
    <row r="441" spans="1:25">
      <c r="A441" s="2">
        <v>45573</v>
      </c>
      <c r="B441" s="3" t="s">
        <v>11</v>
      </c>
      <c r="C441" s="4">
        <v>120</v>
      </c>
      <c r="D441" s="3">
        <v>0</v>
      </c>
      <c r="E441" s="3" t="s">
        <v>13</v>
      </c>
      <c r="F441" s="3" t="s">
        <v>14</v>
      </c>
      <c r="G441" s="3" t="s">
        <v>15</v>
      </c>
      <c r="H441" s="15" t="str">
        <f t="shared" si="9"/>
        <v>Oct-2024</v>
      </c>
      <c r="I441">
        <f t="shared" si="10"/>
        <v>41</v>
      </c>
      <c r="Y441">
        <v>120</v>
      </c>
    </row>
    <row r="442" spans="1:25">
      <c r="A442" s="2">
        <v>45575</v>
      </c>
      <c r="B442" s="3" t="s">
        <v>16</v>
      </c>
      <c r="C442" s="4">
        <v>21600</v>
      </c>
      <c r="D442" s="3">
        <v>0</v>
      </c>
      <c r="E442" s="3" t="s">
        <v>18</v>
      </c>
      <c r="F442" s="3" t="s">
        <v>19</v>
      </c>
      <c r="G442" s="3" t="s">
        <v>15</v>
      </c>
      <c r="H442" s="15" t="str">
        <f t="shared" si="9"/>
        <v>Oct-2024</v>
      </c>
      <c r="I442">
        <f t="shared" si="10"/>
        <v>41</v>
      </c>
      <c r="Y442">
        <v>21600</v>
      </c>
    </row>
    <row r="443" spans="1:25">
      <c r="A443" s="2">
        <v>45575</v>
      </c>
      <c r="B443" s="3" t="s">
        <v>20</v>
      </c>
      <c r="C443" s="4">
        <v>3600</v>
      </c>
      <c r="D443" s="3">
        <v>0</v>
      </c>
      <c r="E443" s="3" t="s">
        <v>22</v>
      </c>
      <c r="F443" s="3" t="s">
        <v>23</v>
      </c>
      <c r="G443" s="3" t="s">
        <v>15</v>
      </c>
      <c r="H443" s="15" t="str">
        <f t="shared" ref="H443:H487" si="11">TEXT(A443,"MMM-YYYY")</f>
        <v>Oct-2024</v>
      </c>
      <c r="I443">
        <f t="shared" si="10"/>
        <v>41</v>
      </c>
      <c r="Y443">
        <v>3600</v>
      </c>
    </row>
    <row r="444" spans="1:25">
      <c r="A444" s="2">
        <v>45575</v>
      </c>
      <c r="B444" s="3" t="s">
        <v>11</v>
      </c>
      <c r="C444" s="4">
        <v>120</v>
      </c>
      <c r="D444" s="3">
        <v>0</v>
      </c>
      <c r="E444" s="3" t="s">
        <v>13</v>
      </c>
      <c r="F444" s="3" t="s">
        <v>14</v>
      </c>
      <c r="G444" s="3" t="s">
        <v>15</v>
      </c>
      <c r="H444" s="15" t="str">
        <f t="shared" si="11"/>
        <v>Oct-2024</v>
      </c>
      <c r="I444">
        <f t="shared" si="10"/>
        <v>41</v>
      </c>
      <c r="Y444">
        <v>120</v>
      </c>
    </row>
    <row r="445" spans="1:25">
      <c r="A445" s="2">
        <v>45575</v>
      </c>
      <c r="B445" s="3" t="s">
        <v>11</v>
      </c>
      <c r="C445" s="4">
        <v>120</v>
      </c>
      <c r="D445" s="3">
        <v>0</v>
      </c>
      <c r="E445" s="3" t="s">
        <v>13</v>
      </c>
      <c r="F445" s="3" t="s">
        <v>14</v>
      </c>
      <c r="G445" s="3" t="s">
        <v>15</v>
      </c>
      <c r="H445" s="15" t="str">
        <f t="shared" si="11"/>
        <v>Oct-2024</v>
      </c>
      <c r="I445">
        <f t="shared" si="10"/>
        <v>41</v>
      </c>
      <c r="Y445">
        <v>120</v>
      </c>
    </row>
    <row r="446" spans="1:25">
      <c r="A446" s="2">
        <v>45576</v>
      </c>
      <c r="B446" s="3" t="s">
        <v>11</v>
      </c>
      <c r="C446" s="4">
        <v>120</v>
      </c>
      <c r="D446" s="3">
        <v>0</v>
      </c>
      <c r="E446" s="3" t="s">
        <v>13</v>
      </c>
      <c r="F446" s="3" t="s">
        <v>14</v>
      </c>
      <c r="G446" s="3" t="s">
        <v>15</v>
      </c>
      <c r="H446" s="15" t="str">
        <f t="shared" si="11"/>
        <v>Oct-2024</v>
      </c>
      <c r="I446">
        <f t="shared" si="10"/>
        <v>41</v>
      </c>
      <c r="Y446">
        <v>120</v>
      </c>
    </row>
    <row r="447" spans="1:25">
      <c r="A447" s="2">
        <v>45577</v>
      </c>
      <c r="B447" s="3" t="s">
        <v>11</v>
      </c>
      <c r="C447" s="4">
        <v>120</v>
      </c>
      <c r="D447" s="3">
        <v>0</v>
      </c>
      <c r="E447" s="3" t="s">
        <v>13</v>
      </c>
      <c r="F447" s="3" t="s">
        <v>14</v>
      </c>
      <c r="G447" s="3" t="s">
        <v>15</v>
      </c>
      <c r="H447" s="15" t="str">
        <f t="shared" si="11"/>
        <v>Oct-2024</v>
      </c>
      <c r="I447">
        <f t="shared" si="10"/>
        <v>41</v>
      </c>
      <c r="Y447">
        <v>120</v>
      </c>
    </row>
    <row r="448" spans="1:25">
      <c r="A448" s="2">
        <v>45577</v>
      </c>
      <c r="B448" s="3" t="s">
        <v>24</v>
      </c>
      <c r="C448" s="4">
        <v>2520</v>
      </c>
      <c r="D448" s="3">
        <v>0</v>
      </c>
      <c r="E448" s="3" t="s">
        <v>26</v>
      </c>
      <c r="F448" s="3" t="s">
        <v>19</v>
      </c>
      <c r="G448" s="3" t="s">
        <v>15</v>
      </c>
      <c r="H448" s="15" t="str">
        <f t="shared" si="11"/>
        <v>Oct-2024</v>
      </c>
      <c r="I448">
        <f t="shared" si="10"/>
        <v>41</v>
      </c>
      <c r="Y448">
        <v>2520</v>
      </c>
    </row>
    <row r="449" spans="1:25">
      <c r="A449" s="2">
        <v>45580</v>
      </c>
      <c r="B449" s="3" t="s">
        <v>27</v>
      </c>
      <c r="C449" s="4">
        <v>1416</v>
      </c>
      <c r="D449" s="3">
        <v>0</v>
      </c>
      <c r="E449" s="3" t="s">
        <v>29</v>
      </c>
      <c r="F449" s="3" t="s">
        <v>19</v>
      </c>
      <c r="G449" s="3" t="s">
        <v>15</v>
      </c>
      <c r="H449" s="15" t="str">
        <f t="shared" si="11"/>
        <v>Oct-2024</v>
      </c>
      <c r="I449">
        <f t="shared" si="10"/>
        <v>42</v>
      </c>
      <c r="Y449">
        <v>1416</v>
      </c>
    </row>
    <row r="450" spans="1:25">
      <c r="A450" s="2">
        <v>45580</v>
      </c>
      <c r="B450" s="3" t="s">
        <v>11</v>
      </c>
      <c r="C450" s="4">
        <v>120</v>
      </c>
      <c r="D450" s="3">
        <v>0</v>
      </c>
      <c r="E450" s="3" t="s">
        <v>13</v>
      </c>
      <c r="F450" s="3" t="s">
        <v>14</v>
      </c>
      <c r="G450" s="3" t="s">
        <v>15</v>
      </c>
      <c r="H450" s="15" t="str">
        <f t="shared" si="11"/>
        <v>Oct-2024</v>
      </c>
      <c r="I450">
        <f t="shared" si="10"/>
        <v>42</v>
      </c>
      <c r="Y450">
        <v>120</v>
      </c>
    </row>
    <row r="451" spans="1:25">
      <c r="A451" s="2">
        <v>45581</v>
      </c>
      <c r="B451" s="3" t="s">
        <v>11</v>
      </c>
      <c r="C451" s="4">
        <v>120</v>
      </c>
      <c r="D451" s="3">
        <v>0</v>
      </c>
      <c r="E451" s="3" t="s">
        <v>13</v>
      </c>
      <c r="F451" s="3" t="s">
        <v>14</v>
      </c>
      <c r="G451" s="3" t="s">
        <v>15</v>
      </c>
      <c r="H451" s="15" t="str">
        <f t="shared" si="11"/>
        <v>Oct-2024</v>
      </c>
      <c r="I451">
        <f t="shared" ref="I451:I487" si="12">WEEKNUM(A451,2)</f>
        <v>42</v>
      </c>
      <c r="Y451">
        <v>120</v>
      </c>
    </row>
    <row r="452" spans="1:25">
      <c r="A452" s="2">
        <v>45582</v>
      </c>
      <c r="B452" s="3" t="s">
        <v>30</v>
      </c>
      <c r="C452" s="4">
        <v>2073.6</v>
      </c>
      <c r="D452" s="3">
        <v>0</v>
      </c>
      <c r="E452" s="3" t="s">
        <v>67</v>
      </c>
      <c r="F452" s="3" t="s">
        <v>23</v>
      </c>
      <c r="G452" s="3" t="s">
        <v>15</v>
      </c>
      <c r="H452" s="15" t="str">
        <f t="shared" si="11"/>
        <v>Oct-2024</v>
      </c>
      <c r="I452">
        <f t="shared" si="12"/>
        <v>42</v>
      </c>
      <c r="Y452">
        <v>2073.6</v>
      </c>
    </row>
    <row r="453" spans="1:25">
      <c r="A453" s="2">
        <v>45582</v>
      </c>
      <c r="B453" s="3" t="s">
        <v>11</v>
      </c>
      <c r="C453" s="4">
        <v>120</v>
      </c>
      <c r="D453" s="3">
        <v>0</v>
      </c>
      <c r="E453" s="3" t="s">
        <v>13</v>
      </c>
      <c r="F453" s="3" t="s">
        <v>14</v>
      </c>
      <c r="G453" s="3" t="s">
        <v>15</v>
      </c>
      <c r="H453" s="15" t="str">
        <f t="shared" si="11"/>
        <v>Oct-2024</v>
      </c>
      <c r="I453">
        <f t="shared" si="12"/>
        <v>42</v>
      </c>
      <c r="Y453">
        <v>120</v>
      </c>
    </row>
    <row r="454" spans="1:25">
      <c r="A454" s="2">
        <v>45583</v>
      </c>
      <c r="B454" s="3" t="s">
        <v>11</v>
      </c>
      <c r="C454" s="4">
        <v>120</v>
      </c>
      <c r="D454" s="3">
        <v>0</v>
      </c>
      <c r="E454" s="3" t="s">
        <v>13</v>
      </c>
      <c r="F454" s="3" t="s">
        <v>14</v>
      </c>
      <c r="G454" s="3" t="s">
        <v>15</v>
      </c>
      <c r="H454" s="15" t="str">
        <f t="shared" si="11"/>
        <v>Oct-2024</v>
      </c>
      <c r="I454">
        <f t="shared" si="12"/>
        <v>42</v>
      </c>
      <c r="Y454">
        <v>120</v>
      </c>
    </row>
    <row r="455" spans="1:25">
      <c r="A455" s="2">
        <v>45584</v>
      </c>
      <c r="B455" s="3" t="s">
        <v>24</v>
      </c>
      <c r="C455" s="4">
        <v>3453.6</v>
      </c>
      <c r="D455" s="3">
        <v>0</v>
      </c>
      <c r="E455" s="3" t="s">
        <v>26</v>
      </c>
      <c r="F455" s="3" t="s">
        <v>19</v>
      </c>
      <c r="G455" s="3" t="s">
        <v>15</v>
      </c>
      <c r="H455" s="15" t="str">
        <f t="shared" si="11"/>
        <v>Oct-2024</v>
      </c>
      <c r="I455">
        <f t="shared" si="12"/>
        <v>42</v>
      </c>
      <c r="Y455">
        <v>3453.6</v>
      </c>
    </row>
    <row r="456" spans="1:25">
      <c r="A456" s="2">
        <v>45584</v>
      </c>
      <c r="B456" s="3" t="s">
        <v>11</v>
      </c>
      <c r="C456" s="4">
        <v>120</v>
      </c>
      <c r="D456" s="3">
        <v>0</v>
      </c>
      <c r="E456" s="3" t="s">
        <v>13</v>
      </c>
      <c r="F456" s="3" t="s">
        <v>14</v>
      </c>
      <c r="G456" s="3" t="s">
        <v>15</v>
      </c>
      <c r="H456" s="15" t="str">
        <f t="shared" si="11"/>
        <v>Oct-2024</v>
      </c>
      <c r="I456">
        <f t="shared" si="12"/>
        <v>42</v>
      </c>
      <c r="Y456">
        <v>120</v>
      </c>
    </row>
    <row r="457" spans="1:25">
      <c r="A457" s="2">
        <v>45585</v>
      </c>
      <c r="B457" s="3" t="s">
        <v>11</v>
      </c>
      <c r="C457" s="4">
        <v>120</v>
      </c>
      <c r="D457" s="3">
        <v>0</v>
      </c>
      <c r="E457" s="3" t="s">
        <v>13</v>
      </c>
      <c r="F457" s="3" t="s">
        <v>14</v>
      </c>
      <c r="G457" s="3" t="s">
        <v>15</v>
      </c>
      <c r="H457" s="15" t="str">
        <f t="shared" si="11"/>
        <v>Oct-2024</v>
      </c>
      <c r="I457">
        <f t="shared" si="12"/>
        <v>42</v>
      </c>
      <c r="Y457">
        <v>120</v>
      </c>
    </row>
    <row r="458" spans="1:25">
      <c r="A458" s="2">
        <v>45585</v>
      </c>
      <c r="B458" s="3" t="s">
        <v>33</v>
      </c>
      <c r="C458" s="4">
        <v>1171.2</v>
      </c>
      <c r="D458" s="3">
        <v>0</v>
      </c>
      <c r="E458" s="3" t="s">
        <v>35</v>
      </c>
      <c r="F458" s="3" t="s">
        <v>36</v>
      </c>
      <c r="G458" s="3" t="s">
        <v>15</v>
      </c>
      <c r="H458" s="15" t="str">
        <f t="shared" si="11"/>
        <v>Oct-2024</v>
      </c>
      <c r="I458">
        <f t="shared" si="12"/>
        <v>42</v>
      </c>
      <c r="Y458">
        <v>1171.2</v>
      </c>
    </row>
    <row r="459" spans="1:25">
      <c r="A459" s="2">
        <v>45585</v>
      </c>
      <c r="B459" s="3" t="s">
        <v>81</v>
      </c>
      <c r="C459" s="4">
        <v>2560.8000000000002</v>
      </c>
      <c r="D459" s="3">
        <v>0</v>
      </c>
      <c r="E459" s="3" t="s">
        <v>39</v>
      </c>
      <c r="F459" s="3" t="s">
        <v>36</v>
      </c>
      <c r="G459" s="3" t="s">
        <v>15</v>
      </c>
      <c r="H459" s="15" t="str">
        <f t="shared" si="11"/>
        <v>Oct-2024</v>
      </c>
      <c r="I459">
        <f t="shared" si="12"/>
        <v>42</v>
      </c>
      <c r="Y459">
        <v>2560.8000000000002</v>
      </c>
    </row>
    <row r="460" spans="1:25">
      <c r="A460" s="2">
        <v>45585</v>
      </c>
      <c r="B460" s="3" t="s">
        <v>40</v>
      </c>
      <c r="C460" s="4">
        <v>1466.4</v>
      </c>
      <c r="D460" s="3">
        <v>0</v>
      </c>
      <c r="E460" s="3" t="s">
        <v>42</v>
      </c>
      <c r="F460" s="3" t="s">
        <v>14</v>
      </c>
      <c r="G460" s="3" t="s">
        <v>15</v>
      </c>
      <c r="H460" s="15" t="str">
        <f t="shared" si="11"/>
        <v>Oct-2024</v>
      </c>
      <c r="I460">
        <f t="shared" si="12"/>
        <v>42</v>
      </c>
      <c r="Y460">
        <v>1466.4</v>
      </c>
    </row>
    <row r="461" spans="1:25">
      <c r="A461" s="2">
        <v>45586</v>
      </c>
      <c r="B461" s="3" t="s">
        <v>43</v>
      </c>
      <c r="C461" s="4">
        <v>892.8</v>
      </c>
      <c r="D461" s="3">
        <v>0</v>
      </c>
      <c r="E461" s="3" t="s">
        <v>45</v>
      </c>
      <c r="F461" s="3" t="s">
        <v>23</v>
      </c>
      <c r="G461" s="3" t="s">
        <v>15</v>
      </c>
      <c r="H461" s="15" t="str">
        <f t="shared" si="11"/>
        <v>Oct-2024</v>
      </c>
      <c r="I461">
        <f t="shared" si="12"/>
        <v>43</v>
      </c>
      <c r="Y461">
        <v>892.8</v>
      </c>
    </row>
    <row r="462" spans="1:25">
      <c r="A462" s="2">
        <v>45587</v>
      </c>
      <c r="B462" s="3" t="s">
        <v>46</v>
      </c>
      <c r="C462" s="4">
        <v>0</v>
      </c>
      <c r="D462" s="3">
        <v>2400</v>
      </c>
      <c r="E462" s="3" t="s">
        <v>48</v>
      </c>
      <c r="F462" s="3" t="s">
        <v>49</v>
      </c>
      <c r="G462" s="3" t="s">
        <v>10</v>
      </c>
      <c r="H462" s="15" t="str">
        <f t="shared" si="11"/>
        <v>Oct-2024</v>
      </c>
      <c r="I462">
        <f t="shared" si="12"/>
        <v>43</v>
      </c>
      <c r="Y462">
        <v>0</v>
      </c>
    </row>
    <row r="463" spans="1:25">
      <c r="A463" s="2">
        <v>45587</v>
      </c>
      <c r="B463" s="3" t="s">
        <v>11</v>
      </c>
      <c r="C463" s="4">
        <v>120</v>
      </c>
      <c r="D463" s="3">
        <v>0</v>
      </c>
      <c r="E463" s="3" t="s">
        <v>13</v>
      </c>
      <c r="F463" s="3" t="s">
        <v>14</v>
      </c>
      <c r="G463" s="3" t="s">
        <v>15</v>
      </c>
      <c r="H463" s="15" t="str">
        <f t="shared" si="11"/>
        <v>Oct-2024</v>
      </c>
      <c r="I463">
        <f t="shared" si="12"/>
        <v>43</v>
      </c>
      <c r="Y463">
        <v>120</v>
      </c>
    </row>
    <row r="464" spans="1:25">
      <c r="A464" s="2">
        <v>45588</v>
      </c>
      <c r="B464" s="3" t="s">
        <v>11</v>
      </c>
      <c r="C464" s="4">
        <v>120</v>
      </c>
      <c r="D464" s="3">
        <v>0</v>
      </c>
      <c r="E464" s="3" t="s">
        <v>13</v>
      </c>
      <c r="F464" s="3" t="s">
        <v>14</v>
      </c>
      <c r="G464" s="3" t="s">
        <v>15</v>
      </c>
      <c r="H464" s="15" t="str">
        <f t="shared" si="11"/>
        <v>Oct-2024</v>
      </c>
      <c r="I464">
        <f t="shared" si="12"/>
        <v>43</v>
      </c>
      <c r="Y464">
        <v>120</v>
      </c>
    </row>
    <row r="465" spans="1:25">
      <c r="A465" s="2">
        <v>45588</v>
      </c>
      <c r="B465" s="3" t="s">
        <v>106</v>
      </c>
      <c r="C465" s="4">
        <v>1800</v>
      </c>
      <c r="D465" s="3">
        <v>0</v>
      </c>
      <c r="E465" s="3" t="s">
        <v>108</v>
      </c>
      <c r="F465" s="3" t="s">
        <v>109</v>
      </c>
      <c r="G465" s="3" t="s">
        <v>15</v>
      </c>
      <c r="H465" s="15" t="str">
        <f t="shared" si="11"/>
        <v>Oct-2024</v>
      </c>
      <c r="I465">
        <f t="shared" si="12"/>
        <v>43</v>
      </c>
      <c r="Y465">
        <v>1800</v>
      </c>
    </row>
    <row r="466" spans="1:25">
      <c r="A466" s="2">
        <v>45588</v>
      </c>
      <c r="B466" s="3" t="s">
        <v>51</v>
      </c>
      <c r="C466" s="4">
        <v>960</v>
      </c>
      <c r="D466" s="3">
        <v>0</v>
      </c>
      <c r="E466" s="3" t="s">
        <v>51</v>
      </c>
      <c r="F466" s="3" t="s">
        <v>19</v>
      </c>
      <c r="G466" s="3" t="s">
        <v>15</v>
      </c>
      <c r="H466" s="15" t="str">
        <f t="shared" si="11"/>
        <v>Oct-2024</v>
      </c>
      <c r="I466">
        <f t="shared" si="12"/>
        <v>43</v>
      </c>
      <c r="Y466">
        <v>960</v>
      </c>
    </row>
    <row r="467" spans="1:25">
      <c r="A467" s="2">
        <v>45589</v>
      </c>
      <c r="B467" s="3" t="s">
        <v>52</v>
      </c>
      <c r="C467" s="4">
        <v>1298.4000000000001</v>
      </c>
      <c r="D467" s="3">
        <v>0</v>
      </c>
      <c r="E467" s="3" t="s">
        <v>54</v>
      </c>
      <c r="F467" s="3" t="s">
        <v>36</v>
      </c>
      <c r="G467" s="3" t="s">
        <v>15</v>
      </c>
      <c r="H467" s="15" t="str">
        <f t="shared" si="11"/>
        <v>Oct-2024</v>
      </c>
      <c r="I467">
        <f t="shared" si="12"/>
        <v>43</v>
      </c>
      <c r="Y467">
        <v>1298.4000000000001</v>
      </c>
    </row>
    <row r="468" spans="1:25">
      <c r="A468" s="2">
        <v>45589</v>
      </c>
      <c r="B468" s="3" t="s">
        <v>55</v>
      </c>
      <c r="C468" s="4">
        <v>840</v>
      </c>
      <c r="D468" s="3">
        <v>0</v>
      </c>
      <c r="E468" s="3" t="s">
        <v>35</v>
      </c>
      <c r="F468" s="3" t="s">
        <v>36</v>
      </c>
      <c r="G468" s="3" t="s">
        <v>15</v>
      </c>
      <c r="H468" s="15" t="str">
        <f t="shared" si="11"/>
        <v>Oct-2024</v>
      </c>
      <c r="I468">
        <f t="shared" si="12"/>
        <v>43</v>
      </c>
      <c r="Y468">
        <v>840</v>
      </c>
    </row>
    <row r="469" spans="1:25">
      <c r="A469" s="2">
        <v>45589</v>
      </c>
      <c r="B469" s="3" t="s">
        <v>11</v>
      </c>
      <c r="C469" s="4">
        <v>120</v>
      </c>
      <c r="D469" s="3">
        <v>0</v>
      </c>
      <c r="E469" s="3" t="s">
        <v>13</v>
      </c>
      <c r="F469" s="3" t="s">
        <v>14</v>
      </c>
      <c r="G469" s="3" t="s">
        <v>15</v>
      </c>
      <c r="H469" s="15" t="str">
        <f t="shared" si="11"/>
        <v>Oct-2024</v>
      </c>
      <c r="I469">
        <f t="shared" si="12"/>
        <v>43</v>
      </c>
      <c r="Y469">
        <v>120</v>
      </c>
    </row>
    <row r="470" spans="1:25">
      <c r="A470" s="2">
        <v>45590</v>
      </c>
      <c r="B470" s="3" t="s">
        <v>11</v>
      </c>
      <c r="C470" s="4">
        <v>120</v>
      </c>
      <c r="D470" s="3">
        <v>0</v>
      </c>
      <c r="E470" s="3" t="s">
        <v>13</v>
      </c>
      <c r="F470" s="3" t="s">
        <v>14</v>
      </c>
      <c r="G470" s="3" t="s">
        <v>15</v>
      </c>
      <c r="H470" s="15" t="str">
        <f t="shared" si="11"/>
        <v>Oct-2024</v>
      </c>
      <c r="I470">
        <f t="shared" si="12"/>
        <v>43</v>
      </c>
      <c r="Y470">
        <v>120</v>
      </c>
    </row>
    <row r="471" spans="1:25">
      <c r="A471" s="2">
        <v>45591</v>
      </c>
      <c r="B471" s="3" t="s">
        <v>11</v>
      </c>
      <c r="C471" s="4">
        <v>120</v>
      </c>
      <c r="D471" s="3">
        <v>0</v>
      </c>
      <c r="E471" s="3" t="s">
        <v>13</v>
      </c>
      <c r="F471" s="3" t="s">
        <v>14</v>
      </c>
      <c r="G471" s="3" t="s">
        <v>15</v>
      </c>
      <c r="H471" s="15" t="str">
        <f t="shared" si="11"/>
        <v>Oct-2024</v>
      </c>
      <c r="I471">
        <f t="shared" si="12"/>
        <v>43</v>
      </c>
      <c r="Y471">
        <v>120</v>
      </c>
    </row>
    <row r="472" spans="1:25">
      <c r="A472" s="2">
        <v>45591</v>
      </c>
      <c r="B472" s="3" t="s">
        <v>24</v>
      </c>
      <c r="C472" s="4">
        <v>4293.6000000000004</v>
      </c>
      <c r="D472" s="3">
        <v>0</v>
      </c>
      <c r="E472" s="3" t="s">
        <v>26</v>
      </c>
      <c r="F472" s="3" t="s">
        <v>19</v>
      </c>
      <c r="G472" s="3" t="s">
        <v>15</v>
      </c>
      <c r="H472" s="15" t="str">
        <f t="shared" si="11"/>
        <v>Oct-2024</v>
      </c>
      <c r="I472">
        <f t="shared" si="12"/>
        <v>43</v>
      </c>
      <c r="Y472">
        <v>4293.6000000000004</v>
      </c>
    </row>
    <row r="473" spans="1:25">
      <c r="A473" s="2">
        <v>45592</v>
      </c>
      <c r="B473" s="3" t="s">
        <v>58</v>
      </c>
      <c r="C473" s="4">
        <v>1108.8</v>
      </c>
      <c r="D473" s="3">
        <v>0</v>
      </c>
      <c r="E473" s="3" t="s">
        <v>42</v>
      </c>
      <c r="F473" s="3" t="s">
        <v>14</v>
      </c>
      <c r="G473" s="3" t="s">
        <v>15</v>
      </c>
      <c r="H473" s="15" t="str">
        <f t="shared" si="11"/>
        <v>Oct-2024</v>
      </c>
      <c r="I473">
        <f t="shared" si="12"/>
        <v>43</v>
      </c>
      <c r="Y473">
        <v>1108.8</v>
      </c>
    </row>
    <row r="474" spans="1:25">
      <c r="A474" s="2">
        <v>45593</v>
      </c>
      <c r="B474" s="3" t="s">
        <v>60</v>
      </c>
      <c r="C474" s="4">
        <v>506.4</v>
      </c>
      <c r="D474" s="3">
        <v>0</v>
      </c>
      <c r="E474" s="3" t="s">
        <v>42</v>
      </c>
      <c r="F474" s="3" t="s">
        <v>14</v>
      </c>
      <c r="G474" s="3" t="s">
        <v>15</v>
      </c>
      <c r="H474" s="15" t="str">
        <f t="shared" si="11"/>
        <v>Oct-2024</v>
      </c>
      <c r="I474">
        <f t="shared" si="12"/>
        <v>44</v>
      </c>
      <c r="Y474">
        <v>506.4</v>
      </c>
    </row>
    <row r="475" spans="1:25">
      <c r="A475" s="2">
        <v>45594</v>
      </c>
      <c r="B475" s="3" t="s">
        <v>62</v>
      </c>
      <c r="C475" s="4">
        <v>1320</v>
      </c>
      <c r="D475" s="3">
        <v>0</v>
      </c>
      <c r="E475" s="3" t="s">
        <v>64</v>
      </c>
      <c r="F475" s="3" t="s">
        <v>65</v>
      </c>
      <c r="G475" s="3" t="s">
        <v>15</v>
      </c>
      <c r="H475" s="15" t="str">
        <f t="shared" si="11"/>
        <v>Oct-2024</v>
      </c>
      <c r="I475">
        <f t="shared" si="12"/>
        <v>44</v>
      </c>
      <c r="Y475">
        <v>1320</v>
      </c>
    </row>
    <row r="476" spans="1:25">
      <c r="A476" s="2">
        <v>45594</v>
      </c>
      <c r="B476" s="3" t="s">
        <v>30</v>
      </c>
      <c r="C476" s="4">
        <v>1716</v>
      </c>
      <c r="D476" s="3">
        <v>0</v>
      </c>
      <c r="E476" s="3" t="s">
        <v>67</v>
      </c>
      <c r="F476" s="3" t="s">
        <v>23</v>
      </c>
      <c r="G476" s="3" t="s">
        <v>15</v>
      </c>
      <c r="H476" s="15" t="str">
        <f t="shared" si="11"/>
        <v>Oct-2024</v>
      </c>
      <c r="I476">
        <f t="shared" si="12"/>
        <v>44</v>
      </c>
      <c r="Y476">
        <v>1716</v>
      </c>
    </row>
    <row r="477" spans="1:25">
      <c r="A477" s="2">
        <v>45594</v>
      </c>
      <c r="B477" s="3" t="s">
        <v>11</v>
      </c>
      <c r="C477" s="4">
        <v>120</v>
      </c>
      <c r="D477" s="3">
        <v>0</v>
      </c>
      <c r="E477" s="3" t="s">
        <v>13</v>
      </c>
      <c r="F477" s="3" t="s">
        <v>14</v>
      </c>
      <c r="G477" s="3" t="s">
        <v>15</v>
      </c>
      <c r="H477" s="15" t="str">
        <f t="shared" si="11"/>
        <v>Oct-2024</v>
      </c>
      <c r="I477">
        <f t="shared" si="12"/>
        <v>44</v>
      </c>
      <c r="Y477">
        <v>120</v>
      </c>
    </row>
    <row r="478" spans="1:25">
      <c r="A478" s="2">
        <v>45595</v>
      </c>
      <c r="B478" s="3" t="s">
        <v>11</v>
      </c>
      <c r="C478" s="4">
        <v>120</v>
      </c>
      <c r="D478" s="3">
        <v>0</v>
      </c>
      <c r="E478" s="3" t="s">
        <v>13</v>
      </c>
      <c r="F478" s="3" t="s">
        <v>14</v>
      </c>
      <c r="G478" s="3" t="s">
        <v>15</v>
      </c>
      <c r="H478" s="15" t="str">
        <f t="shared" si="11"/>
        <v>Oct-2024</v>
      </c>
      <c r="I478">
        <f t="shared" si="12"/>
        <v>44</v>
      </c>
      <c r="Y478">
        <v>120</v>
      </c>
    </row>
    <row r="479" spans="1:25">
      <c r="A479" s="2">
        <v>45596</v>
      </c>
      <c r="B479" s="3" t="s">
        <v>11</v>
      </c>
      <c r="C479" s="4">
        <v>120</v>
      </c>
      <c r="D479" s="3">
        <v>0</v>
      </c>
      <c r="E479" s="3" t="s">
        <v>13</v>
      </c>
      <c r="F479" s="3" t="s">
        <v>14</v>
      </c>
      <c r="G479" s="3" t="s">
        <v>15</v>
      </c>
      <c r="H479" s="15" t="str">
        <f t="shared" si="11"/>
        <v>Oct-2024</v>
      </c>
      <c r="I479">
        <f t="shared" si="12"/>
        <v>44</v>
      </c>
      <c r="Y479">
        <v>120</v>
      </c>
    </row>
    <row r="480" spans="1:25">
      <c r="A480" s="2">
        <v>45597</v>
      </c>
      <c r="B480" s="3" t="s">
        <v>11</v>
      </c>
      <c r="C480" s="4">
        <v>120</v>
      </c>
      <c r="D480" s="3">
        <v>0</v>
      </c>
      <c r="E480" s="3" t="s">
        <v>13</v>
      </c>
      <c r="F480" s="3" t="s">
        <v>14</v>
      </c>
      <c r="G480" s="3" t="s">
        <v>15</v>
      </c>
      <c r="H480" s="15" t="str">
        <f t="shared" si="11"/>
        <v>Nov-2024</v>
      </c>
      <c r="I480">
        <f t="shared" si="12"/>
        <v>44</v>
      </c>
      <c r="Y480">
        <v>120</v>
      </c>
    </row>
    <row r="481" spans="1:25">
      <c r="A481" s="2">
        <v>45598</v>
      </c>
      <c r="B481" s="3" t="s">
        <v>11</v>
      </c>
      <c r="C481" s="4">
        <v>120</v>
      </c>
      <c r="D481" s="3">
        <v>0</v>
      </c>
      <c r="E481" s="3" t="s">
        <v>13</v>
      </c>
      <c r="F481" s="3" t="s">
        <v>14</v>
      </c>
      <c r="G481" s="3" t="s">
        <v>15</v>
      </c>
      <c r="H481" s="15" t="str">
        <f t="shared" si="11"/>
        <v>Nov-2024</v>
      </c>
      <c r="I481">
        <f t="shared" si="12"/>
        <v>44</v>
      </c>
      <c r="Y481">
        <v>120</v>
      </c>
    </row>
    <row r="482" spans="1:25">
      <c r="A482" s="2">
        <v>45598</v>
      </c>
      <c r="B482" s="3" t="s">
        <v>24</v>
      </c>
      <c r="C482" s="4">
        <v>4536</v>
      </c>
      <c r="D482" s="3">
        <v>0</v>
      </c>
      <c r="E482" s="3" t="s">
        <v>26</v>
      </c>
      <c r="F482" s="3" t="s">
        <v>19</v>
      </c>
      <c r="G482" s="3" t="s">
        <v>15</v>
      </c>
      <c r="H482" s="15" t="str">
        <f t="shared" si="11"/>
        <v>Nov-2024</v>
      </c>
      <c r="I482">
        <f t="shared" si="12"/>
        <v>44</v>
      </c>
      <c r="Y482">
        <v>4536</v>
      </c>
    </row>
    <row r="483" spans="1:25">
      <c r="A483" s="2">
        <v>45599</v>
      </c>
      <c r="B483" s="3" t="s">
        <v>69</v>
      </c>
      <c r="C483" s="4">
        <v>3211.2</v>
      </c>
      <c r="D483" s="3">
        <v>0</v>
      </c>
      <c r="E483" s="3" t="s">
        <v>39</v>
      </c>
      <c r="F483" s="3" t="s">
        <v>36</v>
      </c>
      <c r="G483" s="3" t="s">
        <v>15</v>
      </c>
      <c r="H483" s="15" t="str">
        <f t="shared" si="11"/>
        <v>Nov-2024</v>
      </c>
      <c r="I483">
        <f t="shared" si="12"/>
        <v>44</v>
      </c>
      <c r="Y483">
        <v>3211.2</v>
      </c>
    </row>
    <row r="484" spans="1:25">
      <c r="A484" s="2">
        <v>45599</v>
      </c>
      <c r="B484" s="3" t="s">
        <v>71</v>
      </c>
      <c r="C484" s="4">
        <v>4425.6000000000004</v>
      </c>
      <c r="D484" s="3">
        <v>0</v>
      </c>
      <c r="E484" s="3" t="s">
        <v>35</v>
      </c>
      <c r="F484" s="3" t="s">
        <v>36</v>
      </c>
      <c r="G484" s="3" t="s">
        <v>15</v>
      </c>
      <c r="H484" s="15" t="str">
        <f t="shared" si="11"/>
        <v>Nov-2024</v>
      </c>
      <c r="I484">
        <f t="shared" si="12"/>
        <v>44</v>
      </c>
      <c r="Y484">
        <v>4425.6000000000004</v>
      </c>
    </row>
    <row r="485" spans="1:25">
      <c r="A485" s="2">
        <v>45600</v>
      </c>
      <c r="B485" s="3" t="s">
        <v>244</v>
      </c>
      <c r="C485" s="4">
        <v>3708</v>
      </c>
      <c r="D485" s="3">
        <v>0</v>
      </c>
      <c r="E485" s="3" t="s">
        <v>39</v>
      </c>
      <c r="F485" s="3" t="s">
        <v>36</v>
      </c>
      <c r="G485" s="3" t="s">
        <v>15</v>
      </c>
      <c r="H485" s="15" t="str">
        <f t="shared" si="11"/>
        <v>Nov-2024</v>
      </c>
      <c r="I485">
        <f t="shared" si="12"/>
        <v>45</v>
      </c>
      <c r="Y485">
        <v>3708</v>
      </c>
    </row>
    <row r="486" spans="1:25">
      <c r="A486" s="2">
        <v>45600</v>
      </c>
      <c r="B486" s="3" t="s">
        <v>43</v>
      </c>
      <c r="C486" s="4">
        <v>770.4</v>
      </c>
      <c r="D486" s="3">
        <v>0</v>
      </c>
      <c r="E486" s="3" t="s">
        <v>45</v>
      </c>
      <c r="F486" s="3" t="s">
        <v>23</v>
      </c>
      <c r="G486" s="3" t="s">
        <v>15</v>
      </c>
      <c r="H486" s="15" t="str">
        <f t="shared" si="11"/>
        <v>Nov-2024</v>
      </c>
      <c r="I486">
        <f t="shared" si="12"/>
        <v>45</v>
      </c>
      <c r="Y486">
        <v>770.4</v>
      </c>
    </row>
    <row r="487" spans="1:25">
      <c r="A487" s="2">
        <v>45600</v>
      </c>
      <c r="B487" s="3" t="s">
        <v>121</v>
      </c>
      <c r="C487" s="4">
        <v>360</v>
      </c>
      <c r="D487" s="3">
        <v>0</v>
      </c>
      <c r="E487" s="3" t="s">
        <v>42</v>
      </c>
      <c r="F487" s="3" t="s">
        <v>14</v>
      </c>
      <c r="G487" s="3" t="s">
        <v>15</v>
      </c>
      <c r="H487" s="15" t="str">
        <f t="shared" si="11"/>
        <v>Nov-2024</v>
      </c>
      <c r="I487">
        <f t="shared" si="12"/>
        <v>45</v>
      </c>
      <c r="Y487">
        <v>360</v>
      </c>
    </row>
  </sheetData>
  <autoFilter ref="G1:G487" xr:uid="{D4B0FA4B-6441-48C1-8D84-44361BF54CC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03CC-15E6-4F19-9592-042575449F8F}">
  <dimension ref="A3:B14"/>
  <sheetViews>
    <sheetView workbookViewId="0">
      <selection activeCell="D19" sqref="D19"/>
    </sheetView>
  </sheetViews>
  <sheetFormatPr defaultRowHeight="12.75"/>
  <sheetData>
    <row r="3" spans="1:2">
      <c r="A3" s="7" t="s">
        <v>2</v>
      </c>
      <c r="B3" s="8"/>
    </row>
    <row r="4" spans="1:2">
      <c r="A4" t="s">
        <v>249</v>
      </c>
      <c r="B4">
        <f>ROUND(AVERAGE(clean_data!C2:C487),2)</f>
        <v>1490.91</v>
      </c>
    </row>
    <row r="5" spans="1:2">
      <c r="A5" t="s">
        <v>250</v>
      </c>
      <c r="B5">
        <f>MEDIAN(clean_data!C2:C487)</f>
        <v>120</v>
      </c>
    </row>
    <row r="6" spans="1:2">
      <c r="A6" t="s">
        <v>251</v>
      </c>
      <c r="B6">
        <f>MODE(clean_data!C2:C487)</f>
        <v>120</v>
      </c>
    </row>
    <row r="11" spans="1:2">
      <c r="A11" s="7" t="s">
        <v>3</v>
      </c>
      <c r="B11" s="7"/>
    </row>
    <row r="12" spans="1:2">
      <c r="A12" t="s">
        <v>249</v>
      </c>
      <c r="B12">
        <f>ROUND(AVERAGE(clean_data!D2:D487),2)</f>
        <v>3231.6</v>
      </c>
    </row>
    <row r="13" spans="1:2">
      <c r="A13" t="s">
        <v>250</v>
      </c>
      <c r="B13">
        <f>MEDIAN(clean_data!D2:D487)</f>
        <v>0</v>
      </c>
    </row>
    <row r="14" spans="1:2">
      <c r="A14" t="s">
        <v>251</v>
      </c>
      <c r="B14">
        <f>MODE(clean_data!D2:D487)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7A71-1581-4EF6-83F8-4DA4F24C9AED}">
  <dimension ref="A2:K106"/>
  <sheetViews>
    <sheetView workbookViewId="0">
      <selection activeCell="E30" sqref="E30"/>
    </sheetView>
  </sheetViews>
  <sheetFormatPr defaultRowHeight="12.75"/>
  <cols>
    <col min="1" max="1" width="14.42578125" customWidth="1"/>
    <col min="2" max="2" width="16.28515625" bestFit="1" customWidth="1"/>
    <col min="3" max="3" width="13" customWidth="1"/>
    <col min="4" max="4" width="11.5703125" bestFit="1" customWidth="1"/>
    <col min="5" max="5" width="16.42578125" customWidth="1"/>
    <col min="6" max="6" width="12.28515625" customWidth="1"/>
    <col min="7" max="7" width="13" bestFit="1" customWidth="1"/>
  </cols>
  <sheetData>
    <row r="2" spans="1:10">
      <c r="A2" s="12" t="s">
        <v>252</v>
      </c>
      <c r="B2" s="11"/>
      <c r="E2" s="9" t="s">
        <v>6</v>
      </c>
      <c r="F2" s="9" t="s">
        <v>253</v>
      </c>
      <c r="G2" t="s">
        <v>254</v>
      </c>
    </row>
    <row r="3" spans="1:10">
      <c r="A3" s="9" t="s">
        <v>5</v>
      </c>
      <c r="B3" t="s">
        <v>253</v>
      </c>
      <c r="E3" t="s">
        <v>15</v>
      </c>
      <c r="F3" s="10">
        <v>724584.00000000023</v>
      </c>
      <c r="G3" s="10">
        <v>0</v>
      </c>
    </row>
    <row r="4" spans="1:10">
      <c r="A4" t="s">
        <v>65</v>
      </c>
      <c r="B4" s="10">
        <v>13200</v>
      </c>
      <c r="E4" t="s">
        <v>10</v>
      </c>
      <c r="F4" s="10">
        <v>0</v>
      </c>
      <c r="G4" s="10">
        <v>1570560</v>
      </c>
    </row>
    <row r="5" spans="1:10">
      <c r="A5" t="s">
        <v>14</v>
      </c>
      <c r="B5" s="10">
        <v>59373.60000000002</v>
      </c>
      <c r="E5" t="s">
        <v>255</v>
      </c>
      <c r="F5" s="10">
        <v>724584.00000000023</v>
      </c>
      <c r="G5" s="10">
        <v>1570560</v>
      </c>
    </row>
    <row r="6" spans="1:10">
      <c r="A6" t="s">
        <v>36</v>
      </c>
      <c r="B6" s="10">
        <v>168662.40000000002</v>
      </c>
    </row>
    <row r="7" spans="1:10">
      <c r="A7" t="s">
        <v>19</v>
      </c>
      <c r="B7" s="10">
        <v>393595.19999999995</v>
      </c>
    </row>
    <row r="8" spans="1:10">
      <c r="A8" t="s">
        <v>109</v>
      </c>
      <c r="B8" s="10">
        <v>5400</v>
      </c>
    </row>
    <row r="9" spans="1:10">
      <c r="A9" t="s">
        <v>23</v>
      </c>
      <c r="B9" s="10">
        <v>84352.8</v>
      </c>
    </row>
    <row r="10" spans="1:10">
      <c r="A10" t="s">
        <v>255</v>
      </c>
      <c r="B10" s="10">
        <v>724584</v>
      </c>
      <c r="E10" s="12" t="s">
        <v>256</v>
      </c>
      <c r="F10" s="11"/>
    </row>
    <row r="11" spans="1:10">
      <c r="E11" s="9" t="s">
        <v>5</v>
      </c>
      <c r="F11" t="s">
        <v>254</v>
      </c>
    </row>
    <row r="12" spans="1:10">
      <c r="E12" t="s">
        <v>49</v>
      </c>
      <c r="F12" s="10">
        <v>370560</v>
      </c>
    </row>
    <row r="13" spans="1:10">
      <c r="A13" s="9" t="s">
        <v>247</v>
      </c>
      <c r="B13" s="9" t="s">
        <v>253</v>
      </c>
      <c r="C13" t="s">
        <v>254</v>
      </c>
      <c r="E13" t="s">
        <v>9</v>
      </c>
      <c r="F13" s="10">
        <v>1200000</v>
      </c>
    </row>
    <row r="14" spans="1:10">
      <c r="A14" t="s">
        <v>257</v>
      </c>
      <c r="B14" s="10">
        <v>62592</v>
      </c>
      <c r="C14" s="10">
        <v>176160</v>
      </c>
      <c r="E14" t="s">
        <v>255</v>
      </c>
      <c r="F14" s="10">
        <v>1570560</v>
      </c>
    </row>
    <row r="15" spans="1:10">
      <c r="A15" t="s">
        <v>258</v>
      </c>
      <c r="B15" s="10">
        <v>72573.60000000002</v>
      </c>
      <c r="C15" s="10">
        <v>139200</v>
      </c>
    </row>
    <row r="16" spans="1:10">
      <c r="A16" t="s">
        <v>259</v>
      </c>
      <c r="B16" s="10">
        <v>70646.399999999994</v>
      </c>
      <c r="C16" s="10">
        <v>139200</v>
      </c>
      <c r="I16" t="s">
        <v>6</v>
      </c>
      <c r="J16" t="s">
        <v>10</v>
      </c>
    </row>
    <row r="17" spans="1:11">
      <c r="A17" t="s">
        <v>260</v>
      </c>
      <c r="B17" s="10">
        <v>53496</v>
      </c>
      <c r="C17" s="10">
        <v>336000</v>
      </c>
    </row>
    <row r="18" spans="1:11">
      <c r="A18" t="s">
        <v>261</v>
      </c>
      <c r="B18" s="10">
        <v>72832.799999999988</v>
      </c>
      <c r="C18" s="10">
        <v>124800</v>
      </c>
      <c r="I18" s="9" t="s">
        <v>5</v>
      </c>
      <c r="J18" s="9" t="s">
        <v>4</v>
      </c>
      <c r="K18" t="s">
        <v>254</v>
      </c>
    </row>
    <row r="19" spans="1:11">
      <c r="A19" t="s">
        <v>262</v>
      </c>
      <c r="B19" s="10">
        <v>69372.000000000015</v>
      </c>
      <c r="C19" s="10">
        <v>122400</v>
      </c>
      <c r="I19" t="s">
        <v>49</v>
      </c>
      <c r="J19" t="s">
        <v>50</v>
      </c>
      <c r="K19" s="10">
        <v>108000</v>
      </c>
    </row>
    <row r="20" spans="1:11">
      <c r="A20" t="s">
        <v>263</v>
      </c>
      <c r="B20" s="10">
        <v>83006.399999999994</v>
      </c>
      <c r="C20" s="10">
        <v>144000</v>
      </c>
      <c r="J20" t="s">
        <v>48</v>
      </c>
      <c r="K20" s="10">
        <v>262560</v>
      </c>
    </row>
    <row r="21" spans="1:11">
      <c r="A21" t="s">
        <v>264</v>
      </c>
      <c r="B21" s="10">
        <v>76272</v>
      </c>
      <c r="C21" s="10">
        <v>144000</v>
      </c>
      <c r="I21" t="s">
        <v>265</v>
      </c>
      <c r="K21" s="10">
        <v>370560</v>
      </c>
    </row>
    <row r="22" spans="1:11">
      <c r="A22" t="s">
        <v>266</v>
      </c>
      <c r="B22" s="10">
        <v>17251.2</v>
      </c>
      <c r="C22" s="10">
        <v>0</v>
      </c>
      <c r="I22" t="s">
        <v>9</v>
      </c>
      <c r="J22" t="s">
        <v>75</v>
      </c>
      <c r="K22" s="10">
        <v>1080000</v>
      </c>
    </row>
    <row r="23" spans="1:11">
      <c r="A23" t="s">
        <v>267</v>
      </c>
      <c r="B23" s="10">
        <v>74889.600000000006</v>
      </c>
      <c r="C23" s="10">
        <v>122400</v>
      </c>
      <c r="J23" t="s">
        <v>7</v>
      </c>
      <c r="K23" s="10">
        <v>120000</v>
      </c>
    </row>
    <row r="24" spans="1:11">
      <c r="A24" t="s">
        <v>268</v>
      </c>
      <c r="B24" s="10">
        <v>71651.999999999985</v>
      </c>
      <c r="C24" s="10">
        <v>122400</v>
      </c>
      <c r="I24" t="s">
        <v>269</v>
      </c>
      <c r="K24" s="10">
        <v>1200000</v>
      </c>
    </row>
    <row r="25" spans="1:11">
      <c r="A25" t="s">
        <v>255</v>
      </c>
      <c r="B25" s="10">
        <v>724584</v>
      </c>
      <c r="C25" s="10">
        <v>1570560</v>
      </c>
      <c r="I25" t="s">
        <v>255</v>
      </c>
      <c r="K25" s="10">
        <v>1570560</v>
      </c>
    </row>
    <row r="46" spans="1:3">
      <c r="A46" s="9" t="s">
        <v>248</v>
      </c>
      <c r="B46" t="s">
        <v>253</v>
      </c>
      <c r="C46" t="s">
        <v>254</v>
      </c>
    </row>
    <row r="47" spans="1:3">
      <c r="A47">
        <v>2</v>
      </c>
      <c r="B47" s="10">
        <v>29520</v>
      </c>
      <c r="C47" s="10">
        <v>120000</v>
      </c>
    </row>
    <row r="48" spans="1:3">
      <c r="A48">
        <v>3</v>
      </c>
      <c r="B48" s="10">
        <v>11568</v>
      </c>
      <c r="C48" s="10">
        <v>0</v>
      </c>
    </row>
    <row r="49" spans="1:3">
      <c r="A49">
        <v>4</v>
      </c>
      <c r="B49" s="10">
        <v>9048</v>
      </c>
      <c r="C49" s="10">
        <v>216000</v>
      </c>
    </row>
    <row r="50" spans="1:3">
      <c r="A50">
        <v>5</v>
      </c>
      <c r="B50" s="10">
        <v>14808</v>
      </c>
      <c r="C50" s="10">
        <v>0</v>
      </c>
    </row>
    <row r="51" spans="1:3">
      <c r="A51">
        <v>6</v>
      </c>
      <c r="B51" s="10">
        <v>34752</v>
      </c>
      <c r="C51" s="10">
        <v>120000</v>
      </c>
    </row>
    <row r="52" spans="1:3">
      <c r="A52">
        <v>7</v>
      </c>
      <c r="B52" s="10">
        <v>11709.6</v>
      </c>
      <c r="C52" s="10">
        <v>0</v>
      </c>
    </row>
    <row r="53" spans="1:3">
      <c r="A53">
        <v>8</v>
      </c>
      <c r="B53" s="10">
        <v>9208.8000000000011</v>
      </c>
      <c r="C53" s="10">
        <v>19200</v>
      </c>
    </row>
    <row r="54" spans="1:3">
      <c r="A54">
        <v>9</v>
      </c>
      <c r="B54" s="10">
        <v>13987.2</v>
      </c>
      <c r="C54" s="10">
        <v>0</v>
      </c>
    </row>
    <row r="55" spans="1:3">
      <c r="A55">
        <v>10</v>
      </c>
      <c r="B55" s="10">
        <v>33460.800000000003</v>
      </c>
      <c r="C55" s="10">
        <v>120000</v>
      </c>
    </row>
    <row r="56" spans="1:3">
      <c r="A56">
        <v>11</v>
      </c>
      <c r="B56" s="10">
        <v>11848.8</v>
      </c>
      <c r="C56" s="10">
        <v>0</v>
      </c>
    </row>
    <row r="57" spans="1:3">
      <c r="A57">
        <v>12</v>
      </c>
      <c r="B57" s="10">
        <v>11104.8</v>
      </c>
      <c r="C57" s="10">
        <v>24000</v>
      </c>
    </row>
    <row r="58" spans="1:3">
      <c r="A58">
        <v>13</v>
      </c>
      <c r="B58" s="10">
        <v>16132.8</v>
      </c>
      <c r="C58" s="10">
        <v>0</v>
      </c>
    </row>
    <row r="59" spans="1:3">
      <c r="A59">
        <v>14</v>
      </c>
      <c r="B59" s="10">
        <v>30290.400000000001</v>
      </c>
      <c r="C59" s="10">
        <v>120000</v>
      </c>
    </row>
    <row r="60" spans="1:3">
      <c r="A60">
        <v>15</v>
      </c>
      <c r="B60" s="10">
        <v>7591.2000000000007</v>
      </c>
      <c r="C60" s="10">
        <v>0</v>
      </c>
    </row>
    <row r="61" spans="1:3">
      <c r="A61">
        <v>16</v>
      </c>
      <c r="B61" s="10">
        <v>11532</v>
      </c>
      <c r="C61" s="10">
        <v>56160</v>
      </c>
    </row>
    <row r="62" spans="1:3">
      <c r="A62">
        <v>17</v>
      </c>
      <c r="B62" s="10">
        <v>8980.7999999999993</v>
      </c>
      <c r="C62" s="10">
        <v>0</v>
      </c>
    </row>
    <row r="63" spans="1:3">
      <c r="A63">
        <v>18</v>
      </c>
      <c r="B63" s="10">
        <v>19248.000000000004</v>
      </c>
      <c r="C63" s="10">
        <v>0</v>
      </c>
    </row>
    <row r="64" spans="1:3">
      <c r="A64">
        <v>19</v>
      </c>
      <c r="B64" s="10">
        <v>29880</v>
      </c>
      <c r="C64" s="10">
        <v>120000</v>
      </c>
    </row>
    <row r="65" spans="1:3">
      <c r="A65">
        <v>20</v>
      </c>
      <c r="B65" s="10">
        <v>12907.199999999999</v>
      </c>
      <c r="C65" s="10">
        <v>0</v>
      </c>
    </row>
    <row r="66" spans="1:3">
      <c r="A66">
        <v>21</v>
      </c>
      <c r="B66" s="10">
        <v>10927.199999999999</v>
      </c>
      <c r="C66" s="10">
        <v>24000</v>
      </c>
    </row>
    <row r="67" spans="1:3">
      <c r="A67">
        <v>22</v>
      </c>
      <c r="B67" s="10">
        <v>20472</v>
      </c>
      <c r="C67" s="10">
        <v>0</v>
      </c>
    </row>
    <row r="68" spans="1:3">
      <c r="A68">
        <v>23</v>
      </c>
      <c r="B68" s="10">
        <v>26280</v>
      </c>
      <c r="C68" s="10">
        <v>120000</v>
      </c>
    </row>
    <row r="69" spans="1:3">
      <c r="A69">
        <v>24</v>
      </c>
      <c r="B69" s="10">
        <v>6746.4</v>
      </c>
      <c r="C69" s="10">
        <v>0</v>
      </c>
    </row>
    <row r="70" spans="1:3">
      <c r="A70">
        <v>25</v>
      </c>
      <c r="B70" s="10">
        <v>12794.4</v>
      </c>
      <c r="C70" s="10">
        <v>2400</v>
      </c>
    </row>
    <row r="71" spans="1:3">
      <c r="A71">
        <v>26</v>
      </c>
      <c r="B71" s="10">
        <v>10586.4</v>
      </c>
      <c r="C71" s="10">
        <v>0</v>
      </c>
    </row>
    <row r="72" spans="1:3">
      <c r="A72">
        <v>27</v>
      </c>
      <c r="B72" s="10">
        <v>16569.599999999999</v>
      </c>
      <c r="C72" s="10">
        <v>120000</v>
      </c>
    </row>
    <row r="73" spans="1:3">
      <c r="A73">
        <v>28</v>
      </c>
      <c r="B73" s="10">
        <v>31706.400000000001</v>
      </c>
      <c r="C73" s="10">
        <v>0</v>
      </c>
    </row>
    <row r="74" spans="1:3">
      <c r="A74">
        <v>29</v>
      </c>
      <c r="B74" s="10">
        <v>11904</v>
      </c>
      <c r="C74" s="10">
        <v>4800</v>
      </c>
    </row>
    <row r="75" spans="1:3">
      <c r="A75">
        <v>30</v>
      </c>
      <c r="B75" s="10">
        <v>12292.8</v>
      </c>
      <c r="C75" s="10">
        <v>0</v>
      </c>
    </row>
    <row r="76" spans="1:3">
      <c r="A76">
        <v>31</v>
      </c>
      <c r="B76" s="10">
        <v>17416.800000000003</v>
      </c>
      <c r="C76" s="10">
        <v>0</v>
      </c>
    </row>
    <row r="77" spans="1:3">
      <c r="A77">
        <v>32</v>
      </c>
      <c r="B77" s="10">
        <v>29208</v>
      </c>
      <c r="C77" s="10">
        <v>120000</v>
      </c>
    </row>
    <row r="78" spans="1:3">
      <c r="A78">
        <v>33</v>
      </c>
      <c r="B78" s="10">
        <v>7399.2000000000007</v>
      </c>
      <c r="C78" s="10">
        <v>0</v>
      </c>
    </row>
    <row r="79" spans="1:3">
      <c r="A79">
        <v>34</v>
      </c>
      <c r="B79" s="10">
        <v>13915.199999999999</v>
      </c>
      <c r="C79" s="10">
        <v>19200</v>
      </c>
    </row>
    <row r="80" spans="1:3">
      <c r="A80">
        <v>35</v>
      </c>
      <c r="B80" s="10">
        <v>7922.4</v>
      </c>
      <c r="C80" s="10">
        <v>0</v>
      </c>
    </row>
    <row r="81" spans="1:3">
      <c r="A81">
        <v>36</v>
      </c>
      <c r="B81" s="10">
        <v>12645.600000000002</v>
      </c>
      <c r="C81" s="10">
        <v>120000</v>
      </c>
    </row>
    <row r="82" spans="1:3">
      <c r="A82">
        <v>37</v>
      </c>
      <c r="B82" s="10">
        <v>31236</v>
      </c>
      <c r="C82" s="10">
        <v>0</v>
      </c>
    </row>
    <row r="83" spans="1:3">
      <c r="A83">
        <v>38</v>
      </c>
      <c r="B83" s="10">
        <v>13156.799999999997</v>
      </c>
      <c r="C83" s="10">
        <v>2400</v>
      </c>
    </row>
    <row r="84" spans="1:3">
      <c r="A84">
        <v>39</v>
      </c>
      <c r="B84" s="10">
        <v>11565.6</v>
      </c>
      <c r="C84" s="10">
        <v>0</v>
      </c>
    </row>
    <row r="85" spans="1:3">
      <c r="A85">
        <v>40</v>
      </c>
      <c r="B85" s="10">
        <v>18012</v>
      </c>
      <c r="C85" s="10">
        <v>0</v>
      </c>
    </row>
    <row r="86" spans="1:3">
      <c r="A86">
        <v>41</v>
      </c>
      <c r="B86" s="10">
        <v>28440</v>
      </c>
      <c r="C86" s="10">
        <v>120000</v>
      </c>
    </row>
    <row r="87" spans="1:3">
      <c r="A87">
        <v>42</v>
      </c>
      <c r="B87" s="10">
        <v>12861.6</v>
      </c>
      <c r="C87" s="10">
        <v>0</v>
      </c>
    </row>
    <row r="88" spans="1:3">
      <c r="A88">
        <v>43</v>
      </c>
      <c r="B88" s="10">
        <v>11793.6</v>
      </c>
      <c r="C88" s="10">
        <v>2400</v>
      </c>
    </row>
    <row r="89" spans="1:3">
      <c r="A89">
        <v>44</v>
      </c>
      <c r="B89" s="10">
        <v>16315.199999999999</v>
      </c>
      <c r="C89" s="10">
        <v>0</v>
      </c>
    </row>
    <row r="90" spans="1:3">
      <c r="A90">
        <v>45</v>
      </c>
      <c r="B90" s="10">
        <v>4838.3999999999996</v>
      </c>
      <c r="C90" s="10">
        <v>0</v>
      </c>
    </row>
    <row r="91" spans="1:3">
      <c r="A91" t="s">
        <v>255</v>
      </c>
      <c r="B91" s="10">
        <v>724584</v>
      </c>
      <c r="C91" s="10">
        <v>1570560</v>
      </c>
    </row>
    <row r="97" spans="1:3">
      <c r="A97" s="9" t="s">
        <v>6</v>
      </c>
      <c r="B97" t="s">
        <v>10</v>
      </c>
    </row>
    <row r="99" spans="1:3">
      <c r="A99" s="9" t="s">
        <v>5</v>
      </c>
      <c r="B99" s="9" t="s">
        <v>4</v>
      </c>
      <c r="C99" t="s">
        <v>254</v>
      </c>
    </row>
    <row r="100" spans="1:3">
      <c r="A100" t="s">
        <v>49</v>
      </c>
      <c r="B100" t="s">
        <v>50</v>
      </c>
      <c r="C100" s="10">
        <v>108000</v>
      </c>
    </row>
    <row r="101" spans="1:3">
      <c r="B101" t="s">
        <v>48</v>
      </c>
      <c r="C101" s="10">
        <v>262560</v>
      </c>
    </row>
    <row r="102" spans="1:3">
      <c r="A102" t="s">
        <v>265</v>
      </c>
      <c r="C102" s="10">
        <v>370560</v>
      </c>
    </row>
    <row r="103" spans="1:3">
      <c r="A103" t="s">
        <v>9</v>
      </c>
      <c r="B103" t="s">
        <v>75</v>
      </c>
      <c r="C103" s="10">
        <v>1080000</v>
      </c>
    </row>
    <row r="104" spans="1:3">
      <c r="B104" t="s">
        <v>7</v>
      </c>
      <c r="C104" s="10">
        <v>120000</v>
      </c>
    </row>
    <row r="105" spans="1:3">
      <c r="A105" t="s">
        <v>269</v>
      </c>
      <c r="C105" s="10">
        <v>1200000</v>
      </c>
    </row>
    <row r="106" spans="1:3">
      <c r="A106" t="s">
        <v>255</v>
      </c>
      <c r="C106" s="10">
        <v>1570560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7E9C-E8EB-4DCF-871D-92A127849760}">
  <dimension ref="A1:W106"/>
  <sheetViews>
    <sheetView tabSelected="1" topLeftCell="A3" workbookViewId="0">
      <selection activeCell="I59" sqref="I59:K68"/>
    </sheetView>
  </sheetViews>
  <sheetFormatPr defaultRowHeight="12.75"/>
  <cols>
    <col min="5" max="5" width="11.28515625" bestFit="1" customWidth="1"/>
    <col min="6" max="6" width="12.28515625" bestFit="1" customWidth="1"/>
    <col min="7" max="7" width="13" bestFit="1" customWidth="1"/>
    <col min="10" max="10" width="16.28515625" bestFit="1" customWidth="1"/>
    <col min="11" max="11" width="13" bestFit="1" customWidth="1"/>
    <col min="14" max="14" width="16.42578125" bestFit="1" customWidth="1"/>
    <col min="15" max="15" width="12.28515625" bestFit="1" customWidth="1"/>
    <col min="16" max="16" width="13" bestFit="1" customWidth="1"/>
    <col min="18" max="18" width="13" bestFit="1" customWidth="1"/>
  </cols>
  <sheetData>
    <row r="1" spans="1:2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18">
      <c r="A3" s="13"/>
      <c r="B3" s="13"/>
      <c r="C3" s="13"/>
      <c r="D3" s="13"/>
      <c r="E3" s="13"/>
      <c r="F3" s="16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>
      <c r="A7" s="14"/>
      <c r="B7" s="14"/>
    </row>
    <row r="8" spans="1:23" ht="15">
      <c r="A8" s="14"/>
      <c r="B8" s="14"/>
      <c r="F8" s="17"/>
    </row>
    <row r="9" spans="1:23" ht="15">
      <c r="A9" s="14"/>
      <c r="B9" s="14"/>
      <c r="F9" s="17"/>
    </row>
    <row r="10" spans="1:23" ht="15">
      <c r="A10" s="14"/>
      <c r="B10" s="14"/>
      <c r="F10" s="17"/>
    </row>
    <row r="11" spans="1:23">
      <c r="A11" s="14"/>
      <c r="B11" s="14"/>
    </row>
    <row r="12" spans="1:23">
      <c r="A12" s="14"/>
      <c r="B12" s="14"/>
    </row>
    <row r="13" spans="1:23">
      <c r="A13" s="14"/>
      <c r="B13" s="14"/>
    </row>
    <row r="14" spans="1:23">
      <c r="A14" s="14"/>
      <c r="B14" s="14"/>
    </row>
    <row r="15" spans="1:23">
      <c r="A15" s="14"/>
      <c r="B15" s="14"/>
    </row>
    <row r="16" spans="1:23">
      <c r="A16" s="14"/>
      <c r="B16" s="14"/>
      <c r="E16" s="9" t="s">
        <v>5</v>
      </c>
      <c r="F16" t="s">
        <v>253</v>
      </c>
    </row>
    <row r="17" spans="1:16">
      <c r="A17" s="14"/>
      <c r="B17" s="14"/>
      <c r="E17" t="s">
        <v>65</v>
      </c>
      <c r="F17" s="10">
        <v>13200</v>
      </c>
    </row>
    <row r="18" spans="1:16">
      <c r="A18" s="14"/>
      <c r="B18" s="14"/>
      <c r="E18" t="s">
        <v>14</v>
      </c>
      <c r="F18" s="10">
        <v>59373.60000000002</v>
      </c>
    </row>
    <row r="19" spans="1:16">
      <c r="A19" s="14"/>
      <c r="B19" s="14"/>
      <c r="E19" t="s">
        <v>36</v>
      </c>
      <c r="F19" s="10">
        <v>168662.40000000005</v>
      </c>
      <c r="N19" s="9" t="s">
        <v>6</v>
      </c>
      <c r="O19" t="s">
        <v>253</v>
      </c>
      <c r="P19" t="s">
        <v>254</v>
      </c>
    </row>
    <row r="20" spans="1:16">
      <c r="A20" s="14"/>
      <c r="B20" s="14"/>
      <c r="E20" t="s">
        <v>19</v>
      </c>
      <c r="F20" s="10">
        <v>393595.19999999995</v>
      </c>
      <c r="N20" t="s">
        <v>15</v>
      </c>
      <c r="O20" s="10">
        <v>724584.00000000023</v>
      </c>
      <c r="P20" s="10">
        <v>0</v>
      </c>
    </row>
    <row r="21" spans="1:16">
      <c r="A21" s="14"/>
      <c r="B21" s="14"/>
      <c r="E21" t="s">
        <v>109</v>
      </c>
      <c r="F21" s="10">
        <v>5400</v>
      </c>
      <c r="N21" t="s">
        <v>10</v>
      </c>
      <c r="O21" s="10">
        <v>0</v>
      </c>
      <c r="P21" s="10">
        <v>1570560</v>
      </c>
    </row>
    <row r="22" spans="1:16">
      <c r="A22" s="14"/>
      <c r="B22" s="14"/>
      <c r="E22" t="s">
        <v>49</v>
      </c>
      <c r="F22" s="10">
        <v>0</v>
      </c>
      <c r="N22" t="s">
        <v>255</v>
      </c>
      <c r="O22" s="10">
        <v>724584.00000000023</v>
      </c>
      <c r="P22" s="10">
        <v>1570560</v>
      </c>
    </row>
    <row r="23" spans="1:16">
      <c r="A23" s="14"/>
      <c r="B23" s="14"/>
      <c r="E23" t="s">
        <v>9</v>
      </c>
      <c r="F23" s="10">
        <v>0</v>
      </c>
    </row>
    <row r="24" spans="1:16">
      <c r="A24" s="14"/>
      <c r="B24" s="14"/>
      <c r="E24" t="s">
        <v>23</v>
      </c>
      <c r="F24" s="10">
        <v>84352.8</v>
      </c>
    </row>
    <row r="25" spans="1:16">
      <c r="A25" s="14"/>
      <c r="B25" s="14"/>
      <c r="E25" t="s">
        <v>255</v>
      </c>
      <c r="F25" s="10">
        <v>724584</v>
      </c>
    </row>
    <row r="26" spans="1:16">
      <c r="A26" s="14"/>
      <c r="B26" s="14"/>
    </row>
    <row r="27" spans="1:16">
      <c r="A27" s="14"/>
      <c r="B27" s="14"/>
    </row>
    <row r="28" spans="1:16">
      <c r="A28" s="14"/>
      <c r="B28" s="14"/>
    </row>
    <row r="29" spans="1:16">
      <c r="A29" s="14"/>
      <c r="B29" s="14"/>
    </row>
    <row r="30" spans="1:16">
      <c r="A30" s="14"/>
      <c r="B30" s="14"/>
    </row>
    <row r="31" spans="1:16">
      <c r="A31" s="14"/>
      <c r="B31" s="14"/>
    </row>
    <row r="32" spans="1:16">
      <c r="A32" s="14"/>
      <c r="B32" s="14"/>
      <c r="E32" s="9" t="s">
        <v>247</v>
      </c>
      <c r="F32" t="s">
        <v>253</v>
      </c>
      <c r="G32" t="s">
        <v>254</v>
      </c>
    </row>
    <row r="33" spans="1:18">
      <c r="A33" s="14"/>
      <c r="B33" s="14"/>
      <c r="E33" t="s">
        <v>257</v>
      </c>
      <c r="F33" s="10">
        <v>62592</v>
      </c>
      <c r="G33" s="10">
        <v>176160</v>
      </c>
    </row>
    <row r="34" spans="1:18">
      <c r="A34" s="14"/>
      <c r="B34" s="14"/>
      <c r="E34" t="s">
        <v>258</v>
      </c>
      <c r="F34" s="10">
        <v>72573.60000000002</v>
      </c>
      <c r="G34" s="10">
        <v>139200</v>
      </c>
    </row>
    <row r="35" spans="1:18">
      <c r="A35" s="14"/>
      <c r="B35" s="14"/>
      <c r="E35" t="s">
        <v>259</v>
      </c>
      <c r="F35" s="10">
        <v>70646.399999999994</v>
      </c>
      <c r="G35" s="10">
        <v>139200</v>
      </c>
      <c r="P35" s="18"/>
      <c r="Q35" s="18"/>
      <c r="R35" s="19"/>
    </row>
    <row r="36" spans="1:18">
      <c r="A36" s="14"/>
      <c r="B36" s="14"/>
      <c r="E36" t="s">
        <v>260</v>
      </c>
      <c r="F36" s="10">
        <v>53496</v>
      </c>
      <c r="G36" s="10">
        <v>336000</v>
      </c>
      <c r="L36" s="18"/>
      <c r="M36" s="18"/>
      <c r="N36" s="19"/>
      <c r="P36" s="20"/>
      <c r="R36" s="10"/>
    </row>
    <row r="37" spans="1:18">
      <c r="A37" s="14"/>
      <c r="B37" s="14"/>
      <c r="E37" t="s">
        <v>261</v>
      </c>
      <c r="F37" s="10">
        <v>72832.799999999988</v>
      </c>
      <c r="G37" s="10">
        <v>124800</v>
      </c>
      <c r="L37" s="20"/>
      <c r="N37" s="10"/>
      <c r="P37" s="21"/>
      <c r="R37" s="10"/>
    </row>
    <row r="38" spans="1:18">
      <c r="A38" s="14"/>
      <c r="B38" s="14"/>
      <c r="E38" t="s">
        <v>262</v>
      </c>
      <c r="F38" s="10">
        <v>69372.000000000015</v>
      </c>
      <c r="G38" s="10">
        <v>122400</v>
      </c>
      <c r="L38" s="21"/>
      <c r="N38" s="10"/>
      <c r="P38" s="22"/>
      <c r="Q38" s="22"/>
      <c r="R38" s="23"/>
    </row>
    <row r="39" spans="1:18">
      <c r="A39" s="14"/>
      <c r="B39" s="14"/>
      <c r="E39" t="s">
        <v>263</v>
      </c>
      <c r="F39" s="10">
        <v>83006.399999999994</v>
      </c>
      <c r="G39" s="10">
        <v>144000</v>
      </c>
      <c r="L39" s="22"/>
      <c r="M39" s="22"/>
      <c r="N39" s="23"/>
      <c r="P39" s="20"/>
      <c r="R39" s="10"/>
    </row>
    <row r="40" spans="1:18">
      <c r="A40" s="14"/>
      <c r="B40" s="14"/>
      <c r="E40" t="s">
        <v>264</v>
      </c>
      <c r="F40" s="10">
        <v>76272</v>
      </c>
      <c r="G40" s="10">
        <v>144000</v>
      </c>
      <c r="L40" s="20"/>
      <c r="N40" s="10"/>
      <c r="P40" s="21"/>
      <c r="R40" s="10"/>
    </row>
    <row r="41" spans="1:18">
      <c r="A41" s="14"/>
      <c r="B41" s="14"/>
      <c r="E41" t="s">
        <v>266</v>
      </c>
      <c r="F41" s="10">
        <v>17251.2</v>
      </c>
      <c r="G41" s="10">
        <v>0</v>
      </c>
      <c r="L41" s="21"/>
      <c r="N41" s="10"/>
      <c r="P41" s="22"/>
      <c r="Q41" s="22"/>
      <c r="R41" s="23"/>
    </row>
    <row r="42" spans="1:18">
      <c r="A42" s="14"/>
      <c r="B42" s="14"/>
      <c r="E42" t="s">
        <v>267</v>
      </c>
      <c r="F42" s="10">
        <v>74889.600000000006</v>
      </c>
      <c r="G42" s="10">
        <v>122400</v>
      </c>
      <c r="L42" s="22"/>
      <c r="M42" s="22"/>
      <c r="N42" s="23"/>
      <c r="P42" s="24"/>
      <c r="Q42" s="24"/>
      <c r="R42" s="25"/>
    </row>
    <row r="43" spans="1:18">
      <c r="A43" s="14"/>
      <c r="B43" s="14"/>
      <c r="E43" t="s">
        <v>268</v>
      </c>
      <c r="F43" s="10">
        <v>71651.999999999985</v>
      </c>
      <c r="G43" s="10">
        <v>122400</v>
      </c>
      <c r="L43" s="24"/>
      <c r="M43" s="24"/>
      <c r="N43" s="25"/>
    </row>
    <row r="44" spans="1:18">
      <c r="A44" s="14"/>
      <c r="B44" s="14"/>
      <c r="E44" t="s">
        <v>255</v>
      </c>
      <c r="F44" s="10">
        <v>724584</v>
      </c>
      <c r="G44" s="10">
        <v>1570560</v>
      </c>
    </row>
    <row r="45" spans="1:18">
      <c r="A45" s="14"/>
      <c r="B45" s="14"/>
    </row>
    <row r="46" spans="1:18">
      <c r="A46" s="14"/>
      <c r="B46" s="14"/>
    </row>
    <row r="47" spans="1:18">
      <c r="A47" s="14"/>
      <c r="B47" s="14"/>
    </row>
    <row r="48" spans="1:18">
      <c r="A48" s="14"/>
      <c r="B48" s="14"/>
    </row>
    <row r="49" spans="1:2">
      <c r="A49" s="14"/>
      <c r="B49" s="14"/>
    </row>
    <row r="50" spans="1:2">
      <c r="A50" s="14"/>
      <c r="B50" s="14"/>
    </row>
    <row r="51" spans="1:2">
      <c r="A51" s="14"/>
      <c r="B51" s="14"/>
    </row>
    <row r="52" spans="1:2">
      <c r="A52" s="14"/>
      <c r="B52" s="14"/>
    </row>
    <row r="53" spans="1:2">
      <c r="A53" s="14"/>
      <c r="B53" s="14"/>
    </row>
    <row r="54" spans="1:2">
      <c r="A54" s="14"/>
      <c r="B54" s="14"/>
    </row>
    <row r="55" spans="1:2">
      <c r="A55" s="14"/>
      <c r="B55" s="14"/>
    </row>
    <row r="56" spans="1:2">
      <c r="A56" s="14"/>
      <c r="B56" s="14"/>
    </row>
    <row r="57" spans="1:2">
      <c r="A57" s="14"/>
      <c r="B57" s="14"/>
    </row>
    <row r="58" spans="1:2">
      <c r="A58" s="14"/>
      <c r="B58" s="14"/>
    </row>
    <row r="59" spans="1:2">
      <c r="A59" s="14"/>
      <c r="B59" s="14"/>
    </row>
    <row r="99" spans="12:14">
      <c r="L99" s="18" t="s">
        <v>5</v>
      </c>
      <c r="M99" s="18" t="s">
        <v>4</v>
      </c>
      <c r="N99" s="19" t="s">
        <v>254</v>
      </c>
    </row>
    <row r="100" spans="12:14">
      <c r="L100" s="20" t="s">
        <v>49</v>
      </c>
      <c r="M100" t="s">
        <v>50</v>
      </c>
      <c r="N100" s="10">
        <v>108000</v>
      </c>
    </row>
    <row r="101" spans="12:14">
      <c r="L101" s="21"/>
      <c r="M101" t="s">
        <v>48</v>
      </c>
      <c r="N101" s="10">
        <v>262560</v>
      </c>
    </row>
    <row r="102" spans="12:14">
      <c r="L102" s="22" t="s">
        <v>265</v>
      </c>
      <c r="M102" s="22"/>
      <c r="N102" s="23">
        <v>370560</v>
      </c>
    </row>
    <row r="103" spans="12:14">
      <c r="L103" s="20" t="s">
        <v>9</v>
      </c>
      <c r="M103" t="s">
        <v>75</v>
      </c>
      <c r="N103" s="10">
        <v>1080000</v>
      </c>
    </row>
    <row r="104" spans="12:14">
      <c r="L104" s="21"/>
      <c r="M104" t="s">
        <v>7</v>
      </c>
      <c r="N104" s="10">
        <v>120000</v>
      </c>
    </row>
    <row r="105" spans="12:14">
      <c r="L105" s="22" t="s">
        <v>269</v>
      </c>
      <c r="M105" s="22"/>
      <c r="N105" s="23">
        <v>1200000</v>
      </c>
    </row>
    <row r="106" spans="12:14">
      <c r="L106" s="24" t="s">
        <v>255</v>
      </c>
      <c r="M106" s="24"/>
      <c r="N106" s="25">
        <v>1570560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85E4-51EB-406F-8C01-96862D287BDE}">
  <dimension ref="B2:D15"/>
  <sheetViews>
    <sheetView workbookViewId="0">
      <selection activeCell="F12" sqref="F12"/>
    </sheetView>
  </sheetViews>
  <sheetFormatPr defaultRowHeight="12.75"/>
  <cols>
    <col min="2" max="2" width="36.5703125" bestFit="1" customWidth="1"/>
    <col min="3" max="3" width="58.28515625" customWidth="1"/>
    <col min="4" max="4" width="36.5703125" bestFit="1" customWidth="1"/>
  </cols>
  <sheetData>
    <row r="2" spans="2:4" ht="18">
      <c r="B2" s="26"/>
      <c r="C2" s="28" t="s">
        <v>270</v>
      </c>
      <c r="D2" s="15"/>
    </row>
    <row r="3" spans="2:4" ht="23.25">
      <c r="B3" s="15">
        <v>1</v>
      </c>
      <c r="C3" s="27" t="s">
        <v>271</v>
      </c>
      <c r="D3" s="15"/>
    </row>
    <row r="4" spans="2:4" ht="35.25">
      <c r="B4" s="15">
        <v>2</v>
      </c>
      <c r="C4" s="27" t="s">
        <v>272</v>
      </c>
      <c r="D4" s="15"/>
    </row>
    <row r="5" spans="2:4" ht="23.25">
      <c r="B5" s="15">
        <v>3</v>
      </c>
      <c r="C5" s="27" t="s">
        <v>273</v>
      </c>
      <c r="D5" s="15"/>
    </row>
    <row r="6" spans="2:4" ht="23.25">
      <c r="B6" s="15">
        <v>4</v>
      </c>
      <c r="C6" s="27" t="s">
        <v>274</v>
      </c>
      <c r="D6" s="15"/>
    </row>
    <row r="7" spans="2:4">
      <c r="B7" s="15">
        <v>5</v>
      </c>
      <c r="C7" s="27" t="s">
        <v>275</v>
      </c>
      <c r="D7" s="15"/>
    </row>
    <row r="8" spans="2:4" ht="23.25">
      <c r="B8" s="15"/>
      <c r="C8" s="15" t="s">
        <v>276</v>
      </c>
      <c r="D8" s="15"/>
    </row>
    <row r="9" spans="2:4">
      <c r="B9" s="15"/>
      <c r="C9" s="15" t="s">
        <v>277</v>
      </c>
      <c r="D9" s="15"/>
    </row>
    <row r="10" spans="2:4">
      <c r="B10" s="15"/>
      <c r="C10" s="15" t="s">
        <v>278</v>
      </c>
      <c r="D10" s="15"/>
    </row>
    <row r="11" spans="2:4" ht="23.25">
      <c r="B11" s="15"/>
      <c r="C11" s="15" t="s">
        <v>279</v>
      </c>
      <c r="D11" s="15"/>
    </row>
    <row r="14" spans="2:4" ht="16.5">
      <c r="C14" s="26" t="s">
        <v>280</v>
      </c>
    </row>
    <row r="15" spans="2:4" ht="81">
      <c r="C15" s="1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2025-09-19T07:57:02Z</dcterms:created>
  <dcterms:modified xsi:type="dcterms:W3CDTF">2025-09-30T19:05:57Z</dcterms:modified>
  <cp:category/>
  <cp:contentStatus/>
</cp:coreProperties>
</file>